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saveExternalLinkValues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47574a5fa6f574/Dokumente/"/>
    </mc:Choice>
  </mc:AlternateContent>
  <xr:revisionPtr revIDLastSave="292" documentId="8_{96A886B9-0A2A-0145-A7A5-3386B59C72AC}" xr6:coauthVersionLast="47" xr6:coauthVersionMax="47" xr10:uidLastSave="{B0D5C022-E79C-4927-B4B8-DCCF43EF7CA0}"/>
  <bookViews>
    <workbookView xWindow="-96" yWindow="0" windowWidth="17472" windowHeight="21696" firstSheet="2" activeTab="6" xr2:uid="{00000000-000D-0000-FFFF-FFFF00000000}"/>
  </bookViews>
  <sheets>
    <sheet name="Stammangaben" sheetId="10" r:id="rId1"/>
    <sheet name="KW 01-04" sheetId="1" r:id="rId2"/>
    <sheet name="KW 05-08" sheetId="21" r:id="rId3"/>
    <sheet name="KW 09-12" sheetId="20" r:id="rId4"/>
    <sheet name="KW 13-16" sheetId="19" r:id="rId5"/>
    <sheet name="KW 17-20" sheetId="18" r:id="rId6"/>
    <sheet name="KW 21-24" sheetId="22" r:id="rId7"/>
    <sheet name="KW 25-28" sheetId="23" r:id="rId8"/>
    <sheet name="KW 29-32" sheetId="24" r:id="rId9"/>
    <sheet name="KW 33-36" sheetId="25" r:id="rId10"/>
    <sheet name="KW 37-40" sheetId="26" r:id="rId11"/>
    <sheet name="KW 41-44" sheetId="27" r:id="rId12"/>
    <sheet name="KW 45-48" sheetId="28" r:id="rId13"/>
    <sheet name="KW 49-52" sheetId="29" r:id="rId14"/>
    <sheet name="Tabelle1" sheetId="6" r:id="rId15"/>
  </sheets>
  <definedNames>
    <definedName name="A" localSheetId="2">'KW 05-08'!#REF!</definedName>
    <definedName name="A" localSheetId="3">'KW 09-12'!#REF!</definedName>
    <definedName name="A" localSheetId="4">'KW 13-16'!#REF!</definedName>
    <definedName name="A" localSheetId="5">'KW 17-20'!#REF!</definedName>
    <definedName name="A" localSheetId="6">'KW 21-24'!#REF!</definedName>
    <definedName name="A" localSheetId="7">'KW 25-28'!#REF!</definedName>
    <definedName name="A" localSheetId="8">'KW 29-32'!#REF!</definedName>
    <definedName name="A" localSheetId="9">'KW 33-36'!#REF!</definedName>
    <definedName name="A" localSheetId="10">'KW 37-40'!#REF!</definedName>
    <definedName name="A" localSheetId="11">'KW 41-44'!#REF!</definedName>
    <definedName name="A" localSheetId="12">'KW 45-48'!#REF!</definedName>
    <definedName name="A" localSheetId="13">'KW 49-52'!#REF!</definedName>
    <definedName name="A">'KW 01-04'!#REF!</definedName>
    <definedName name="AHG" localSheetId="2">'KW 05-08'!#REF!</definedName>
    <definedName name="AHG" localSheetId="3">'KW 09-12'!#REF!</definedName>
    <definedName name="AHG" localSheetId="4">'KW 13-16'!#REF!</definedName>
    <definedName name="AHG" localSheetId="5">'KW 17-20'!#REF!</definedName>
    <definedName name="AHG" localSheetId="6">'KW 21-24'!#REF!</definedName>
    <definedName name="AHG" localSheetId="7">'KW 25-28'!#REF!</definedName>
    <definedName name="AHG" localSheetId="8">'KW 29-32'!#REF!</definedName>
    <definedName name="AHG" localSheetId="9">'KW 33-36'!#REF!</definedName>
    <definedName name="AHG" localSheetId="10">'KW 37-40'!#REF!</definedName>
    <definedName name="AHG" localSheetId="11">'KW 41-44'!#REF!</definedName>
    <definedName name="AHG" localSheetId="12">'KW 45-48'!#REF!</definedName>
    <definedName name="AHG" localSheetId="13">'KW 49-52'!#REF!</definedName>
    <definedName name="AHG">'KW 01-04'!#REF!</definedName>
    <definedName name="_xlnm.Print_Area" localSheetId="1">'KW 01-04'!$A$1:$R$41</definedName>
    <definedName name="_xlnm.Print_Area" localSheetId="2">'KW 05-08'!$A$1:$R$41</definedName>
    <definedName name="_xlnm.Print_Area" localSheetId="3">'KW 09-12'!$A$1:$R$41</definedName>
    <definedName name="_xlnm.Print_Area" localSheetId="4">'KW 13-16'!$A$1:$R$41</definedName>
    <definedName name="_xlnm.Print_Area" localSheetId="5">'KW 17-20'!$A$1:$R$41</definedName>
    <definedName name="_xlnm.Print_Area" localSheetId="6">'KW 21-24'!$A$1:$R$41</definedName>
    <definedName name="_xlnm.Print_Area" localSheetId="7">'KW 25-28'!$A$1:$R$41</definedName>
    <definedName name="_xlnm.Print_Area" localSheetId="8">'KW 29-32'!$A$1:$R$41</definedName>
    <definedName name="_xlnm.Print_Area" localSheetId="9">'KW 33-36'!$A$1:$R$41</definedName>
    <definedName name="_xlnm.Print_Area" localSheetId="10">'KW 37-40'!$A$1:$R$41</definedName>
    <definedName name="_xlnm.Print_Area" localSheetId="11">'KW 41-44'!$A$1:$R$41</definedName>
    <definedName name="_xlnm.Print_Area" localSheetId="12">'KW 45-48'!$A$1:$R$41</definedName>
    <definedName name="_xlnm.Print_Area" localSheetId="13">'KW 49-52'!$A$1:$R$41</definedName>
    <definedName name="Gerd" localSheetId="2">'KW 05-08'!#REF!</definedName>
    <definedName name="Gerd" localSheetId="3">'KW 09-12'!#REF!</definedName>
    <definedName name="Gerd" localSheetId="4">'KW 13-16'!#REF!</definedName>
    <definedName name="Gerd" localSheetId="5">'KW 17-20'!#REF!</definedName>
    <definedName name="Gerd" localSheetId="6">'KW 21-24'!#REF!</definedName>
    <definedName name="Gerd" localSheetId="7">'KW 25-28'!#REF!</definedName>
    <definedName name="Gerd" localSheetId="8">'KW 29-32'!#REF!</definedName>
    <definedName name="Gerd" localSheetId="9">'KW 33-36'!#REF!</definedName>
    <definedName name="Gerd" localSheetId="10">'KW 37-40'!#REF!</definedName>
    <definedName name="Gerd" localSheetId="11">'KW 41-44'!#REF!</definedName>
    <definedName name="Gerd" localSheetId="12">'KW 45-48'!#REF!</definedName>
    <definedName name="Gerd" localSheetId="13">'KW 49-52'!#REF!</definedName>
    <definedName name="Gerd">'KW 01-04'!#REF!</definedName>
    <definedName name="Heiko" localSheetId="2">'KW 05-08'!#REF!</definedName>
    <definedName name="Heiko" localSheetId="3">'KW 09-12'!#REF!</definedName>
    <definedName name="Heiko" localSheetId="4">'KW 13-16'!#REF!</definedName>
    <definedName name="Heiko" localSheetId="5">'KW 17-20'!#REF!</definedName>
    <definedName name="Heiko" localSheetId="6">'KW 21-24'!#REF!</definedName>
    <definedName name="Heiko" localSheetId="7">'KW 25-28'!#REF!</definedName>
    <definedName name="Heiko" localSheetId="8">'KW 29-32'!#REF!</definedName>
    <definedName name="Heiko" localSheetId="9">'KW 33-36'!#REF!</definedName>
    <definedName name="Heiko" localSheetId="10">'KW 37-40'!#REF!</definedName>
    <definedName name="Heiko" localSheetId="11">'KW 41-44'!#REF!</definedName>
    <definedName name="Heiko" localSheetId="12">'KW 45-48'!#REF!</definedName>
    <definedName name="Heiko" localSheetId="13">'KW 49-52'!#REF!</definedName>
    <definedName name="Heiko">'KW 01-04'!#REF!</definedName>
    <definedName name="IstArbeitszeit" localSheetId="2">'KW 05-08'!#REF!</definedName>
    <definedName name="IstArbeitszeit" localSheetId="3">'KW 09-12'!#REF!</definedName>
    <definedName name="IstArbeitszeit" localSheetId="4">'KW 13-16'!#REF!</definedName>
    <definedName name="IstArbeitszeit" localSheetId="5">'KW 17-20'!#REF!</definedName>
    <definedName name="IstArbeitszeit" localSheetId="6">'KW 21-24'!#REF!</definedName>
    <definedName name="IstArbeitszeit" localSheetId="7">'KW 25-28'!#REF!</definedName>
    <definedName name="IstArbeitszeit" localSheetId="8">'KW 29-32'!#REF!</definedName>
    <definedName name="IstArbeitszeit" localSheetId="9">'KW 33-36'!#REF!</definedName>
    <definedName name="IstArbeitszeit" localSheetId="10">'KW 37-40'!#REF!</definedName>
    <definedName name="IstArbeitszeit" localSheetId="11">'KW 41-44'!#REF!</definedName>
    <definedName name="IstArbeitszeit" localSheetId="12">'KW 45-48'!#REF!</definedName>
    <definedName name="IstArbeitszeit" localSheetId="13">'KW 49-52'!#REF!</definedName>
    <definedName name="IstArbeitszeit">'KW 01-04'!#REF!</definedName>
    <definedName name="Karl" localSheetId="2">'KW 05-08'!#REF!</definedName>
    <definedName name="Karl" localSheetId="3">'KW 09-12'!#REF!</definedName>
    <definedName name="Karl" localSheetId="4">'KW 13-16'!#REF!</definedName>
    <definedName name="Karl" localSheetId="5">'KW 17-20'!#REF!</definedName>
    <definedName name="Karl" localSheetId="6">'KW 21-24'!#REF!</definedName>
    <definedName name="Karl" localSheetId="7">'KW 25-28'!#REF!</definedName>
    <definedName name="Karl" localSheetId="8">'KW 29-32'!#REF!</definedName>
    <definedName name="Karl" localSheetId="9">'KW 33-36'!#REF!</definedName>
    <definedName name="Karl" localSheetId="10">'KW 37-40'!#REF!</definedName>
    <definedName name="Karl" localSheetId="11">'KW 41-44'!#REF!</definedName>
    <definedName name="Karl" localSheetId="12">'KW 45-48'!#REF!</definedName>
    <definedName name="Karl" localSheetId="13">'KW 49-52'!#REF!</definedName>
    <definedName name="Karl">'KW 01-04'!#REF!</definedName>
    <definedName name="Kohle" localSheetId="2">'KW 05-08'!#REF!</definedName>
    <definedName name="Kohle" localSheetId="3">'KW 09-12'!#REF!</definedName>
    <definedName name="Kohle" localSheetId="4">'KW 13-16'!#REF!</definedName>
    <definedName name="Kohle" localSheetId="5">'KW 17-20'!#REF!</definedName>
    <definedName name="Kohle" localSheetId="6">'KW 21-24'!#REF!</definedName>
    <definedName name="Kohle" localSheetId="7">'KW 25-28'!#REF!</definedName>
    <definedName name="Kohle" localSheetId="8">'KW 29-32'!#REF!</definedName>
    <definedName name="Kohle" localSheetId="9">'KW 33-36'!#REF!</definedName>
    <definedName name="Kohle" localSheetId="10">'KW 37-40'!#REF!</definedName>
    <definedName name="Kohle" localSheetId="11">'KW 41-44'!#REF!</definedName>
    <definedName name="Kohle" localSheetId="12">'KW 45-48'!#REF!</definedName>
    <definedName name="Kohle" localSheetId="13">'KW 49-52'!#REF!</definedName>
    <definedName name="Kohle">'KW 01-04'!#REF!</definedName>
    <definedName name="KW" localSheetId="2">'KW 05-08'!#REF!</definedName>
    <definedName name="KW" localSheetId="3">'KW 09-12'!#REF!</definedName>
    <definedName name="KW" localSheetId="4">'KW 13-16'!#REF!</definedName>
    <definedName name="KW" localSheetId="5">'KW 17-20'!#REF!</definedName>
    <definedName name="KW" localSheetId="6">'KW 21-24'!#REF!</definedName>
    <definedName name="KW" localSheetId="7">'KW 25-28'!#REF!</definedName>
    <definedName name="KW" localSheetId="8">'KW 29-32'!#REF!</definedName>
    <definedName name="KW" localSheetId="9">'KW 33-36'!#REF!</definedName>
    <definedName name="KW" localSheetId="10">'KW 37-40'!#REF!</definedName>
    <definedName name="KW" localSheetId="11">'KW 41-44'!#REF!</definedName>
    <definedName name="KW" localSheetId="12">'KW 45-48'!#REF!</definedName>
    <definedName name="KW" localSheetId="13">'KW 49-52'!#REF!</definedName>
    <definedName name="KW">'KW 01-04'!#REF!</definedName>
    <definedName name="Mehrarbeit" localSheetId="2">'KW 05-08'!#REF!</definedName>
    <definedName name="Mehrarbeit" localSheetId="3">'KW 09-12'!#REF!</definedName>
    <definedName name="Mehrarbeit" localSheetId="4">'KW 13-16'!#REF!</definedName>
    <definedName name="Mehrarbeit" localSheetId="5">'KW 17-20'!#REF!</definedName>
    <definedName name="Mehrarbeit" localSheetId="6">'KW 21-24'!#REF!</definedName>
    <definedName name="Mehrarbeit" localSheetId="7">'KW 25-28'!#REF!</definedName>
    <definedName name="Mehrarbeit" localSheetId="8">'KW 29-32'!#REF!</definedName>
    <definedName name="Mehrarbeit" localSheetId="9">'KW 33-36'!#REF!</definedName>
    <definedName name="Mehrarbeit" localSheetId="10">'KW 37-40'!#REF!</definedName>
    <definedName name="Mehrarbeit" localSheetId="11">'KW 41-44'!#REF!</definedName>
    <definedName name="Mehrarbeit" localSheetId="12">'KW 45-48'!#REF!</definedName>
    <definedName name="Mehrarbeit" localSheetId="13">'KW 49-52'!#REF!</definedName>
    <definedName name="Mehrarbeit">'KW 01-04'!#REF!</definedName>
    <definedName name="Oscar" localSheetId="2">'KW 05-08'!#REF!</definedName>
    <definedName name="Oscar" localSheetId="3">'KW 09-12'!#REF!</definedName>
    <definedName name="Oscar" localSheetId="4">'KW 13-16'!#REF!</definedName>
    <definedName name="Oscar" localSheetId="5">'KW 17-20'!#REF!</definedName>
    <definedName name="Oscar" localSheetId="6">'KW 21-24'!#REF!</definedName>
    <definedName name="Oscar" localSheetId="7">'KW 25-28'!#REF!</definedName>
    <definedName name="Oscar" localSheetId="8">'KW 29-32'!#REF!</definedName>
    <definedName name="Oscar" localSheetId="9">'KW 33-36'!#REF!</definedName>
    <definedName name="Oscar" localSheetId="10">'KW 37-40'!#REF!</definedName>
    <definedName name="Oscar" localSheetId="11">'KW 41-44'!#REF!</definedName>
    <definedName name="Oscar" localSheetId="12">'KW 45-48'!#REF!</definedName>
    <definedName name="Oscar" localSheetId="13">'KW 49-52'!#REF!</definedName>
    <definedName name="Oscar">'KW 01-04'!#REF!</definedName>
    <definedName name="p" localSheetId="2">'KW 05-08'!#REF!</definedName>
    <definedName name="p" localSheetId="3">'KW 09-12'!#REF!</definedName>
    <definedName name="p" localSheetId="4">'KW 13-16'!#REF!</definedName>
    <definedName name="p" localSheetId="5">'KW 17-20'!#REF!</definedName>
    <definedName name="p" localSheetId="6">'KW 21-24'!#REF!</definedName>
    <definedName name="p" localSheetId="7">'KW 25-28'!#REF!</definedName>
    <definedName name="p" localSheetId="8">'KW 29-32'!#REF!</definedName>
    <definedName name="p" localSheetId="9">'KW 33-36'!#REF!</definedName>
    <definedName name="p" localSheetId="10">'KW 37-40'!#REF!</definedName>
    <definedName name="p" localSheetId="11">'KW 41-44'!#REF!</definedName>
    <definedName name="p" localSheetId="12">'KW 45-48'!#REF!</definedName>
    <definedName name="p" localSheetId="13">'KW 49-52'!#REF!</definedName>
    <definedName name="p">'KW 01-04'!#REF!</definedName>
    <definedName name="Q" localSheetId="2">'KW 05-08'!#REF!</definedName>
    <definedName name="Q" localSheetId="3">'KW 09-12'!#REF!</definedName>
    <definedName name="Q" localSheetId="4">'KW 13-16'!#REF!</definedName>
    <definedName name="Q" localSheetId="5">'KW 17-20'!#REF!</definedName>
    <definedName name="Q" localSheetId="6">'KW 21-24'!#REF!</definedName>
    <definedName name="Q" localSheetId="7">'KW 25-28'!#REF!</definedName>
    <definedName name="Q" localSheetId="8">'KW 29-32'!#REF!</definedName>
    <definedName name="Q" localSheetId="9">'KW 33-36'!#REF!</definedName>
    <definedName name="Q" localSheetId="10">'KW 37-40'!#REF!</definedName>
    <definedName name="Q" localSheetId="11">'KW 41-44'!#REF!</definedName>
    <definedName name="Q" localSheetId="12">'KW 45-48'!#REF!</definedName>
    <definedName name="Q" localSheetId="13">'KW 49-52'!#REF!</definedName>
    <definedName name="Q">'KW 01-04'!#REF!</definedName>
    <definedName name="silvia" localSheetId="2">'KW 05-08'!#REF!</definedName>
    <definedName name="silvia" localSheetId="3">'KW 09-12'!#REF!</definedName>
    <definedName name="silvia" localSheetId="4">'KW 13-16'!#REF!</definedName>
    <definedName name="silvia" localSheetId="5">'KW 17-20'!#REF!</definedName>
    <definedName name="silvia" localSheetId="6">'KW 21-24'!#REF!</definedName>
    <definedName name="silvia" localSheetId="7">'KW 25-28'!#REF!</definedName>
    <definedName name="silvia" localSheetId="8">'KW 29-32'!#REF!</definedName>
    <definedName name="silvia" localSheetId="9">'KW 33-36'!#REF!</definedName>
    <definedName name="silvia" localSheetId="10">'KW 37-40'!#REF!</definedName>
    <definedName name="silvia" localSheetId="11">'KW 41-44'!#REF!</definedName>
    <definedName name="silvia" localSheetId="12">'KW 45-48'!#REF!</definedName>
    <definedName name="silvia" localSheetId="13">'KW 49-52'!#REF!</definedName>
    <definedName name="silvia">'KW 01-04'!#REF!</definedName>
    <definedName name="Sollarbeitszeit" localSheetId="2">'KW 05-08'!#REF!</definedName>
    <definedName name="Sollarbeitszeit" localSheetId="3">'KW 09-12'!#REF!</definedName>
    <definedName name="Sollarbeitszeit" localSheetId="4">'KW 13-16'!#REF!</definedName>
    <definedName name="Sollarbeitszeit" localSheetId="5">'KW 17-20'!#REF!</definedName>
    <definedName name="Sollarbeitszeit" localSheetId="6">'KW 21-24'!#REF!</definedName>
    <definedName name="Sollarbeitszeit" localSheetId="7">'KW 25-28'!#REF!</definedName>
    <definedName name="Sollarbeitszeit" localSheetId="8">'KW 29-32'!#REF!</definedName>
    <definedName name="Sollarbeitszeit" localSheetId="9">'KW 33-36'!#REF!</definedName>
    <definedName name="Sollarbeitszeit" localSheetId="10">'KW 37-40'!#REF!</definedName>
    <definedName name="Sollarbeitszeit" localSheetId="11">'KW 41-44'!#REF!</definedName>
    <definedName name="Sollarbeitszeit" localSheetId="12">'KW 45-48'!#REF!</definedName>
    <definedName name="Sollarbeitszeit" localSheetId="13">'KW 49-52'!#REF!</definedName>
    <definedName name="Sollarbeitszeit">'KW 01-04'!#REF!</definedName>
    <definedName name="Überstunden" localSheetId="2">'KW 05-08'!#REF!</definedName>
    <definedName name="Überstunden" localSheetId="3">'KW 09-12'!#REF!</definedName>
    <definedName name="Überstunden" localSheetId="4">'KW 13-16'!#REF!</definedName>
    <definedName name="Überstunden" localSheetId="5">'KW 17-20'!#REF!</definedName>
    <definedName name="Überstunden" localSheetId="6">'KW 21-24'!#REF!</definedName>
    <definedName name="Überstunden" localSheetId="7">'KW 25-28'!#REF!</definedName>
    <definedName name="Überstunden" localSheetId="8">'KW 29-32'!#REF!</definedName>
    <definedName name="Überstunden" localSheetId="9">'KW 33-36'!#REF!</definedName>
    <definedName name="Überstunden" localSheetId="10">'KW 37-40'!#REF!</definedName>
    <definedName name="Überstunden" localSheetId="11">'KW 41-44'!#REF!</definedName>
    <definedName name="Überstunden" localSheetId="12">'KW 45-48'!#REF!</definedName>
    <definedName name="Überstunden" localSheetId="13">'KW 49-52'!#REF!</definedName>
    <definedName name="Überstunden">'KW 01-04'!#REF!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29" l="1"/>
  <c r="F38" i="28"/>
  <c r="F38" i="27"/>
  <c r="F38" i="26"/>
  <c r="F38" i="25"/>
  <c r="F38" i="24"/>
  <c r="F38" i="23"/>
  <c r="F38" i="22"/>
  <c r="F38" i="18"/>
  <c r="F38" i="19"/>
  <c r="F38" i="20"/>
  <c r="F38" i="21"/>
  <c r="F38" i="1"/>
  <c r="I5" i="1" l="1"/>
  <c r="C2" i="22"/>
  <c r="E7" i="10"/>
  <c r="C6" i="10" s="1"/>
  <c r="A12" i="1"/>
  <c r="A9" i="1" s="1"/>
  <c r="I4" i="1"/>
  <c r="C14" i="1"/>
  <c r="C21" i="1"/>
  <c r="C28" i="1"/>
  <c r="C35" i="1"/>
  <c r="A19" i="1" l="1"/>
  <c r="A16" i="1" s="1"/>
  <c r="A26" i="1" s="1"/>
  <c r="A23" i="1" s="1"/>
  <c r="A33" i="1" s="1"/>
  <c r="A30" i="1" s="1"/>
  <c r="A12" i="21" s="1"/>
  <c r="A9" i="21" s="1"/>
  <c r="A19" i="21" s="1"/>
  <c r="A16" i="21" s="1"/>
  <c r="A26" i="21" s="1"/>
  <c r="A23" i="21" s="1"/>
  <c r="A33" i="21" s="1"/>
  <c r="A30" i="21" s="1"/>
  <c r="A12" i="20" s="1"/>
  <c r="A9" i="20" s="1"/>
  <c r="A19" i="20" s="1"/>
  <c r="A16" i="20" s="1"/>
  <c r="A26" i="20" s="1"/>
  <c r="A23" i="20" s="1"/>
  <c r="A33" i="20" s="1"/>
  <c r="A30" i="20" s="1"/>
  <c r="A12" i="19" s="1"/>
  <c r="A9" i="19" s="1"/>
  <c r="A19" i="19" s="1"/>
  <c r="A16" i="19" s="1"/>
  <c r="A26" i="19" s="1"/>
  <c r="A23" i="19" s="1"/>
  <c r="A33" i="19" s="1"/>
  <c r="A30" i="19" s="1"/>
  <c r="A12" i="18" s="1"/>
  <c r="A9" i="18" s="1"/>
  <c r="A19" i="18" s="1"/>
  <c r="A16" i="18" s="1"/>
  <c r="A26" i="18" s="1"/>
  <c r="A23" i="18" s="1"/>
  <c r="A33" i="18" s="1"/>
  <c r="A30" i="18" s="1"/>
  <c r="A12" i="22" s="1"/>
  <c r="A9" i="22" s="1"/>
  <c r="A19" i="22" s="1"/>
  <c r="A16" i="22" s="1"/>
  <c r="A26" i="22" s="1"/>
  <c r="A23" i="22" s="1"/>
  <c r="A33" i="22" s="1"/>
  <c r="A30" i="22" s="1"/>
  <c r="A12" i="23" s="1"/>
  <c r="A9" i="23" s="1"/>
  <c r="A19" i="23" s="1"/>
  <c r="A16" i="23" s="1"/>
  <c r="A26" i="23" s="1"/>
  <c r="A23" i="23" s="1"/>
  <c r="A33" i="23" s="1"/>
  <c r="A30" i="23" s="1"/>
  <c r="A12" i="24" s="1"/>
  <c r="A9" i="24" s="1"/>
  <c r="A19" i="24" s="1"/>
  <c r="A16" i="24" s="1"/>
  <c r="A26" i="24" s="1"/>
  <c r="A23" i="24" s="1"/>
  <c r="A33" i="24" s="1"/>
  <c r="A30" i="24" s="1"/>
  <c r="A12" i="25" s="1"/>
  <c r="A9" i="25" s="1"/>
  <c r="A19" i="25" s="1"/>
  <c r="A16" i="25" s="1"/>
  <c r="A26" i="25" s="1"/>
  <c r="A23" i="25" s="1"/>
  <c r="A33" i="25" s="1"/>
  <c r="A30" i="25" s="1"/>
  <c r="A12" i="26" s="1"/>
  <c r="A9" i="26" s="1"/>
  <c r="A19" i="26" s="1"/>
  <c r="A16" i="26" s="1"/>
  <c r="A26" i="26" s="1"/>
  <c r="A23" i="26" s="1"/>
  <c r="A33" i="26" s="1"/>
  <c r="A30" i="26" s="1"/>
  <c r="A12" i="27" s="1"/>
  <c r="A9" i="27" s="1"/>
  <c r="A19" i="27" s="1"/>
  <c r="A16" i="27" s="1"/>
  <c r="A26" i="27" s="1"/>
  <c r="A23" i="27" s="1"/>
  <c r="A33" i="27" s="1"/>
  <c r="A30" i="27" s="1"/>
  <c r="A12" i="28" s="1"/>
  <c r="A9" i="28" s="1"/>
  <c r="A19" i="28" s="1"/>
  <c r="A16" i="28" s="1"/>
  <c r="A26" i="28" s="1"/>
  <c r="A23" i="28" s="1"/>
  <c r="A33" i="28" s="1"/>
  <c r="A30" i="28" s="1"/>
  <c r="A12" i="29" s="1"/>
  <c r="A9" i="29" s="1"/>
  <c r="A19" i="29" s="1"/>
  <c r="A16" i="29" s="1"/>
  <c r="A26" i="29" s="1"/>
  <c r="A23" i="29" s="1"/>
  <c r="A33" i="29" s="1"/>
  <c r="A30" i="29" s="1"/>
  <c r="A3" i="26"/>
  <c r="A3" i="20"/>
  <c r="A3" i="23"/>
  <c r="A3" i="27"/>
  <c r="A3" i="19"/>
  <c r="A3" i="24"/>
  <c r="A3" i="28"/>
  <c r="A3" i="29"/>
  <c r="A3" i="25"/>
  <c r="A3" i="21"/>
  <c r="A3" i="22"/>
  <c r="C36" i="1"/>
  <c r="A3" i="1" l="1"/>
  <c r="A3" i="18"/>
  <c r="M35" i="29"/>
  <c r="L35" i="29"/>
  <c r="N35" i="29" s="1"/>
  <c r="J35" i="29"/>
  <c r="F35" i="29"/>
  <c r="C35" i="29"/>
  <c r="N34" i="29"/>
  <c r="G34" i="29"/>
  <c r="I34" i="29" s="1"/>
  <c r="N33" i="29"/>
  <c r="G33" i="29"/>
  <c r="I33" i="29" s="1"/>
  <c r="N32" i="29"/>
  <c r="G32" i="29"/>
  <c r="I32" i="29" s="1"/>
  <c r="N31" i="29"/>
  <c r="G31" i="29"/>
  <c r="I31" i="29" s="1"/>
  <c r="N30" i="29"/>
  <c r="G30" i="29"/>
  <c r="I30" i="29" s="1"/>
  <c r="N29" i="29"/>
  <c r="G29" i="29"/>
  <c r="M28" i="29"/>
  <c r="L28" i="29"/>
  <c r="J28" i="29"/>
  <c r="F28" i="29"/>
  <c r="C28" i="29"/>
  <c r="N27" i="29"/>
  <c r="G27" i="29"/>
  <c r="I27" i="29" s="1"/>
  <c r="N26" i="29"/>
  <c r="G26" i="29"/>
  <c r="I26" i="29" s="1"/>
  <c r="N25" i="29"/>
  <c r="G25" i="29"/>
  <c r="I25" i="29" s="1"/>
  <c r="N24" i="29"/>
  <c r="G24" i="29"/>
  <c r="I24" i="29" s="1"/>
  <c r="N23" i="29"/>
  <c r="G23" i="29"/>
  <c r="I23" i="29" s="1"/>
  <c r="N22" i="29"/>
  <c r="G22" i="29"/>
  <c r="M21" i="29"/>
  <c r="N21" i="29" s="1"/>
  <c r="L21" i="29"/>
  <c r="J21" i="29"/>
  <c r="F21" i="29"/>
  <c r="C21" i="29"/>
  <c r="N20" i="29"/>
  <c r="G20" i="29"/>
  <c r="I20" i="29" s="1"/>
  <c r="N19" i="29"/>
  <c r="G19" i="29"/>
  <c r="I19" i="29" s="1"/>
  <c r="N18" i="29"/>
  <c r="G18" i="29"/>
  <c r="I18" i="29" s="1"/>
  <c r="N17" i="29"/>
  <c r="G17" i="29"/>
  <c r="I17" i="29" s="1"/>
  <c r="N16" i="29"/>
  <c r="G16" i="29"/>
  <c r="I16" i="29" s="1"/>
  <c r="N15" i="29"/>
  <c r="G15" i="29"/>
  <c r="M14" i="29"/>
  <c r="L14" i="29"/>
  <c r="J14" i="29"/>
  <c r="F14" i="29"/>
  <c r="C14" i="29"/>
  <c r="N13" i="29"/>
  <c r="G13" i="29"/>
  <c r="I13" i="29" s="1"/>
  <c r="N12" i="29"/>
  <c r="G12" i="29"/>
  <c r="I12" i="29" s="1"/>
  <c r="N11" i="29"/>
  <c r="G11" i="29"/>
  <c r="I11" i="29" s="1"/>
  <c r="N10" i="29"/>
  <c r="G10" i="29"/>
  <c r="I10" i="29" s="1"/>
  <c r="N9" i="29"/>
  <c r="G9" i="29"/>
  <c r="I9" i="29" s="1"/>
  <c r="N8" i="29"/>
  <c r="G8" i="29"/>
  <c r="O2" i="29"/>
  <c r="C2" i="29"/>
  <c r="M35" i="28"/>
  <c r="L35" i="28"/>
  <c r="J35" i="28"/>
  <c r="F35" i="28"/>
  <c r="C35" i="28"/>
  <c r="N34" i="28"/>
  <c r="G34" i="28"/>
  <c r="I34" i="28" s="1"/>
  <c r="N33" i="28"/>
  <c r="G33" i="28"/>
  <c r="I33" i="28" s="1"/>
  <c r="N32" i="28"/>
  <c r="G32" i="28"/>
  <c r="I32" i="28" s="1"/>
  <c r="N31" i="28"/>
  <c r="G31" i="28"/>
  <c r="I31" i="28" s="1"/>
  <c r="N30" i="28"/>
  <c r="G30" i="28"/>
  <c r="I30" i="28" s="1"/>
  <c r="N29" i="28"/>
  <c r="G29" i="28"/>
  <c r="M28" i="28"/>
  <c r="L28" i="28"/>
  <c r="J28" i="28"/>
  <c r="F28" i="28"/>
  <c r="C28" i="28"/>
  <c r="N27" i="28"/>
  <c r="G27" i="28"/>
  <c r="I27" i="28" s="1"/>
  <c r="N26" i="28"/>
  <c r="G26" i="28"/>
  <c r="I26" i="28" s="1"/>
  <c r="N25" i="28"/>
  <c r="G25" i="28"/>
  <c r="I25" i="28" s="1"/>
  <c r="N24" i="28"/>
  <c r="G24" i="28"/>
  <c r="I24" i="28" s="1"/>
  <c r="N23" i="28"/>
  <c r="G23" i="28"/>
  <c r="I23" i="28" s="1"/>
  <c r="N22" i="28"/>
  <c r="G22" i="28"/>
  <c r="M21" i="28"/>
  <c r="L21" i="28"/>
  <c r="J21" i="28"/>
  <c r="F21" i="28"/>
  <c r="C21" i="28"/>
  <c r="N20" i="28"/>
  <c r="G20" i="28"/>
  <c r="I20" i="28" s="1"/>
  <c r="N19" i="28"/>
  <c r="G19" i="28"/>
  <c r="I19" i="28" s="1"/>
  <c r="N18" i="28"/>
  <c r="G18" i="28"/>
  <c r="I18" i="28" s="1"/>
  <c r="N17" i="28"/>
  <c r="G17" i="28"/>
  <c r="I17" i="28" s="1"/>
  <c r="N16" i="28"/>
  <c r="G16" i="28"/>
  <c r="I16" i="28" s="1"/>
  <c r="N15" i="28"/>
  <c r="G15" i="28"/>
  <c r="M14" i="28"/>
  <c r="L14" i="28"/>
  <c r="J14" i="28"/>
  <c r="F14" i="28"/>
  <c r="C14" i="28"/>
  <c r="N13" i="28"/>
  <c r="G13" i="28"/>
  <c r="I13" i="28" s="1"/>
  <c r="N12" i="28"/>
  <c r="G12" i="28"/>
  <c r="I12" i="28" s="1"/>
  <c r="N11" i="28"/>
  <c r="G11" i="28"/>
  <c r="I11" i="28" s="1"/>
  <c r="N10" i="28"/>
  <c r="G10" i="28"/>
  <c r="I10" i="28" s="1"/>
  <c r="N9" i="28"/>
  <c r="G9" i="28"/>
  <c r="I9" i="28" s="1"/>
  <c r="N8" i="28"/>
  <c r="G8" i="28"/>
  <c r="O2" i="28"/>
  <c r="C2" i="28"/>
  <c r="M35" i="27"/>
  <c r="N35" i="27" s="1"/>
  <c r="L35" i="27"/>
  <c r="J35" i="27"/>
  <c r="F35" i="27"/>
  <c r="C35" i="27"/>
  <c r="N34" i="27"/>
  <c r="G34" i="27"/>
  <c r="I34" i="27" s="1"/>
  <c r="N33" i="27"/>
  <c r="G33" i="27"/>
  <c r="I33" i="27" s="1"/>
  <c r="N32" i="27"/>
  <c r="G32" i="27"/>
  <c r="I32" i="27" s="1"/>
  <c r="N31" i="27"/>
  <c r="G31" i="27"/>
  <c r="I31" i="27" s="1"/>
  <c r="N30" i="27"/>
  <c r="G30" i="27"/>
  <c r="I30" i="27" s="1"/>
  <c r="N29" i="27"/>
  <c r="G29" i="27"/>
  <c r="M28" i="27"/>
  <c r="L28" i="27"/>
  <c r="J28" i="27"/>
  <c r="F28" i="27"/>
  <c r="C28" i="27"/>
  <c r="N27" i="27"/>
  <c r="G27" i="27"/>
  <c r="I27" i="27" s="1"/>
  <c r="N26" i="27"/>
  <c r="G26" i="27"/>
  <c r="I26" i="27" s="1"/>
  <c r="N25" i="27"/>
  <c r="G25" i="27"/>
  <c r="I25" i="27" s="1"/>
  <c r="N24" i="27"/>
  <c r="G24" i="27"/>
  <c r="I24" i="27" s="1"/>
  <c r="N23" i="27"/>
  <c r="G23" i="27"/>
  <c r="I23" i="27" s="1"/>
  <c r="N22" i="27"/>
  <c r="G22" i="27"/>
  <c r="M21" i="27"/>
  <c r="L21" i="27"/>
  <c r="J21" i="27"/>
  <c r="F21" i="27"/>
  <c r="C21" i="27"/>
  <c r="N20" i="27"/>
  <c r="G20" i="27"/>
  <c r="I20" i="27" s="1"/>
  <c r="N19" i="27"/>
  <c r="G19" i="27"/>
  <c r="I19" i="27" s="1"/>
  <c r="N18" i="27"/>
  <c r="G18" i="27"/>
  <c r="I18" i="27" s="1"/>
  <c r="N17" i="27"/>
  <c r="G17" i="27"/>
  <c r="I17" i="27" s="1"/>
  <c r="N16" i="27"/>
  <c r="G16" i="27"/>
  <c r="I16" i="27" s="1"/>
  <c r="N15" i="27"/>
  <c r="G15" i="27"/>
  <c r="M14" i="27"/>
  <c r="L14" i="27"/>
  <c r="J14" i="27"/>
  <c r="F14" i="27"/>
  <c r="C14" i="27"/>
  <c r="N13" i="27"/>
  <c r="G13" i="27"/>
  <c r="I13" i="27" s="1"/>
  <c r="N12" i="27"/>
  <c r="G12" i="27"/>
  <c r="I12" i="27" s="1"/>
  <c r="N11" i="27"/>
  <c r="G11" i="27"/>
  <c r="I11" i="27" s="1"/>
  <c r="N10" i="27"/>
  <c r="G10" i="27"/>
  <c r="I10" i="27" s="1"/>
  <c r="N9" i="27"/>
  <c r="G9" i="27"/>
  <c r="I9" i="27" s="1"/>
  <c r="N8" i="27"/>
  <c r="G8" i="27"/>
  <c r="O2" i="27"/>
  <c r="C2" i="27"/>
  <c r="M35" i="26"/>
  <c r="L35" i="26"/>
  <c r="J35" i="26"/>
  <c r="F35" i="26"/>
  <c r="C35" i="26"/>
  <c r="N34" i="26"/>
  <c r="G34" i="26"/>
  <c r="I34" i="26" s="1"/>
  <c r="N33" i="26"/>
  <c r="G33" i="26"/>
  <c r="I33" i="26" s="1"/>
  <c r="N32" i="26"/>
  <c r="G32" i="26"/>
  <c r="I32" i="26" s="1"/>
  <c r="N31" i="26"/>
  <c r="G31" i="26"/>
  <c r="I31" i="26" s="1"/>
  <c r="N30" i="26"/>
  <c r="G30" i="26"/>
  <c r="I30" i="26" s="1"/>
  <c r="N29" i="26"/>
  <c r="G29" i="26"/>
  <c r="M28" i="26"/>
  <c r="L28" i="26"/>
  <c r="J28" i="26"/>
  <c r="F28" i="26"/>
  <c r="C28" i="26"/>
  <c r="N27" i="26"/>
  <c r="G27" i="26"/>
  <c r="I27" i="26" s="1"/>
  <c r="N26" i="26"/>
  <c r="G26" i="26"/>
  <c r="I26" i="26" s="1"/>
  <c r="N25" i="26"/>
  <c r="G25" i="26"/>
  <c r="I25" i="26" s="1"/>
  <c r="N24" i="26"/>
  <c r="G24" i="26"/>
  <c r="I24" i="26" s="1"/>
  <c r="N23" i="26"/>
  <c r="G23" i="26"/>
  <c r="I23" i="26" s="1"/>
  <c r="N22" i="26"/>
  <c r="G22" i="26"/>
  <c r="M21" i="26"/>
  <c r="N21" i="26" s="1"/>
  <c r="L21" i="26"/>
  <c r="J21" i="26"/>
  <c r="F21" i="26"/>
  <c r="C21" i="26"/>
  <c r="N20" i="26"/>
  <c r="G20" i="26"/>
  <c r="I20" i="26" s="1"/>
  <c r="N19" i="26"/>
  <c r="G19" i="26"/>
  <c r="I19" i="26" s="1"/>
  <c r="N18" i="26"/>
  <c r="G18" i="26"/>
  <c r="I18" i="26" s="1"/>
  <c r="N17" i="26"/>
  <c r="G17" i="26"/>
  <c r="I17" i="26" s="1"/>
  <c r="N16" i="26"/>
  <c r="G16" i="26"/>
  <c r="I16" i="26" s="1"/>
  <c r="N15" i="26"/>
  <c r="G15" i="26"/>
  <c r="M14" i="26"/>
  <c r="L14" i="26"/>
  <c r="J14" i="26"/>
  <c r="F14" i="26"/>
  <c r="C14" i="26"/>
  <c r="N13" i="26"/>
  <c r="G13" i="26"/>
  <c r="I13" i="26" s="1"/>
  <c r="N12" i="26"/>
  <c r="G12" i="26"/>
  <c r="I12" i="26" s="1"/>
  <c r="N11" i="26"/>
  <c r="G11" i="26"/>
  <c r="I11" i="26" s="1"/>
  <c r="N10" i="26"/>
  <c r="G10" i="26"/>
  <c r="I10" i="26" s="1"/>
  <c r="N9" i="26"/>
  <c r="G9" i="26"/>
  <c r="I9" i="26" s="1"/>
  <c r="N8" i="26"/>
  <c r="G8" i="26"/>
  <c r="O2" i="26"/>
  <c r="C2" i="26"/>
  <c r="M35" i="25"/>
  <c r="L35" i="25"/>
  <c r="J35" i="25"/>
  <c r="F35" i="25"/>
  <c r="C35" i="25"/>
  <c r="N34" i="25"/>
  <c r="G34" i="25"/>
  <c r="I34" i="25" s="1"/>
  <c r="N33" i="25"/>
  <c r="G33" i="25"/>
  <c r="I33" i="25" s="1"/>
  <c r="N32" i="25"/>
  <c r="G32" i="25"/>
  <c r="I32" i="25" s="1"/>
  <c r="N31" i="25"/>
  <c r="G31" i="25"/>
  <c r="I31" i="25" s="1"/>
  <c r="N30" i="25"/>
  <c r="G30" i="25"/>
  <c r="I30" i="25" s="1"/>
  <c r="N29" i="25"/>
  <c r="G29" i="25"/>
  <c r="M28" i="25"/>
  <c r="L28" i="25"/>
  <c r="J28" i="25"/>
  <c r="F28" i="25"/>
  <c r="C28" i="25"/>
  <c r="N27" i="25"/>
  <c r="G27" i="25"/>
  <c r="I27" i="25" s="1"/>
  <c r="N26" i="25"/>
  <c r="G26" i="25"/>
  <c r="I26" i="25" s="1"/>
  <c r="N25" i="25"/>
  <c r="G25" i="25"/>
  <c r="I25" i="25" s="1"/>
  <c r="N24" i="25"/>
  <c r="G24" i="25"/>
  <c r="I24" i="25" s="1"/>
  <c r="N23" i="25"/>
  <c r="G23" i="25"/>
  <c r="I23" i="25" s="1"/>
  <c r="N22" i="25"/>
  <c r="G22" i="25"/>
  <c r="M21" i="25"/>
  <c r="L21" i="25"/>
  <c r="J21" i="25"/>
  <c r="F21" i="25"/>
  <c r="C21" i="25"/>
  <c r="N20" i="25"/>
  <c r="G20" i="25"/>
  <c r="I20" i="25" s="1"/>
  <c r="N19" i="25"/>
  <c r="G19" i="25"/>
  <c r="I19" i="25" s="1"/>
  <c r="N18" i="25"/>
  <c r="G18" i="25"/>
  <c r="I18" i="25" s="1"/>
  <c r="N17" i="25"/>
  <c r="G17" i="25"/>
  <c r="I17" i="25" s="1"/>
  <c r="N16" i="25"/>
  <c r="G16" i="25"/>
  <c r="I16" i="25" s="1"/>
  <c r="N15" i="25"/>
  <c r="G15" i="25"/>
  <c r="M14" i="25"/>
  <c r="L14" i="25"/>
  <c r="J14" i="25"/>
  <c r="F14" i="25"/>
  <c r="C14" i="25"/>
  <c r="N13" i="25"/>
  <c r="G13" i="25"/>
  <c r="I13" i="25" s="1"/>
  <c r="N12" i="25"/>
  <c r="G12" i="25"/>
  <c r="I12" i="25" s="1"/>
  <c r="N11" i="25"/>
  <c r="G11" i="25"/>
  <c r="I11" i="25" s="1"/>
  <c r="N10" i="25"/>
  <c r="G10" i="25"/>
  <c r="I10" i="25" s="1"/>
  <c r="N9" i="25"/>
  <c r="G9" i="25"/>
  <c r="I9" i="25" s="1"/>
  <c r="N8" i="25"/>
  <c r="G8" i="25"/>
  <c r="O2" i="25"/>
  <c r="C2" i="25"/>
  <c r="M35" i="24"/>
  <c r="L35" i="24"/>
  <c r="J35" i="24"/>
  <c r="F35" i="24"/>
  <c r="C35" i="24"/>
  <c r="N34" i="24"/>
  <c r="G34" i="24"/>
  <c r="I34" i="24" s="1"/>
  <c r="N33" i="24"/>
  <c r="G33" i="24"/>
  <c r="I33" i="24" s="1"/>
  <c r="N32" i="24"/>
  <c r="G32" i="24"/>
  <c r="I32" i="24" s="1"/>
  <c r="N31" i="24"/>
  <c r="G31" i="24"/>
  <c r="I31" i="24" s="1"/>
  <c r="N30" i="24"/>
  <c r="G30" i="24"/>
  <c r="I30" i="24" s="1"/>
  <c r="N29" i="24"/>
  <c r="G29" i="24"/>
  <c r="M28" i="24"/>
  <c r="L28" i="24"/>
  <c r="J28" i="24"/>
  <c r="F28" i="24"/>
  <c r="C28" i="24"/>
  <c r="N27" i="24"/>
  <c r="G27" i="24"/>
  <c r="I27" i="24" s="1"/>
  <c r="N26" i="24"/>
  <c r="G26" i="24"/>
  <c r="I26" i="24" s="1"/>
  <c r="N25" i="24"/>
  <c r="G25" i="24"/>
  <c r="I25" i="24" s="1"/>
  <c r="N24" i="24"/>
  <c r="G24" i="24"/>
  <c r="I24" i="24" s="1"/>
  <c r="N23" i="24"/>
  <c r="G23" i="24"/>
  <c r="I23" i="24" s="1"/>
  <c r="N22" i="24"/>
  <c r="G22" i="24"/>
  <c r="M21" i="24"/>
  <c r="L21" i="24"/>
  <c r="J21" i="24"/>
  <c r="F21" i="24"/>
  <c r="C21" i="24"/>
  <c r="N20" i="24"/>
  <c r="G20" i="24"/>
  <c r="I20" i="24" s="1"/>
  <c r="N19" i="24"/>
  <c r="G19" i="24"/>
  <c r="I19" i="24" s="1"/>
  <c r="N18" i="24"/>
  <c r="G18" i="24"/>
  <c r="I18" i="24" s="1"/>
  <c r="N17" i="24"/>
  <c r="G17" i="24"/>
  <c r="I17" i="24" s="1"/>
  <c r="N16" i="24"/>
  <c r="G16" i="24"/>
  <c r="I16" i="24" s="1"/>
  <c r="N15" i="24"/>
  <c r="G15" i="24"/>
  <c r="M14" i="24"/>
  <c r="L14" i="24"/>
  <c r="J14" i="24"/>
  <c r="F14" i="24"/>
  <c r="C14" i="24"/>
  <c r="N13" i="24"/>
  <c r="G13" i="24"/>
  <c r="I13" i="24" s="1"/>
  <c r="N12" i="24"/>
  <c r="G12" i="24"/>
  <c r="I12" i="24" s="1"/>
  <c r="N11" i="24"/>
  <c r="G11" i="24"/>
  <c r="I11" i="24" s="1"/>
  <c r="N10" i="24"/>
  <c r="G10" i="24"/>
  <c r="I10" i="24" s="1"/>
  <c r="N9" i="24"/>
  <c r="G9" i="24"/>
  <c r="I9" i="24" s="1"/>
  <c r="N8" i="24"/>
  <c r="G8" i="24"/>
  <c r="O2" i="24"/>
  <c r="C2" i="24"/>
  <c r="M35" i="23"/>
  <c r="L35" i="23"/>
  <c r="J35" i="23"/>
  <c r="F35" i="23"/>
  <c r="C35" i="23"/>
  <c r="N34" i="23"/>
  <c r="G34" i="23"/>
  <c r="I34" i="23" s="1"/>
  <c r="N33" i="23"/>
  <c r="G33" i="23"/>
  <c r="I33" i="23" s="1"/>
  <c r="N32" i="23"/>
  <c r="G32" i="23"/>
  <c r="I32" i="23" s="1"/>
  <c r="N31" i="23"/>
  <c r="G31" i="23"/>
  <c r="I31" i="23" s="1"/>
  <c r="N30" i="23"/>
  <c r="G30" i="23"/>
  <c r="I30" i="23" s="1"/>
  <c r="N29" i="23"/>
  <c r="G29" i="23"/>
  <c r="M28" i="23"/>
  <c r="L28" i="23"/>
  <c r="J28" i="23"/>
  <c r="F28" i="23"/>
  <c r="C28" i="23"/>
  <c r="N27" i="23"/>
  <c r="G27" i="23"/>
  <c r="I27" i="23" s="1"/>
  <c r="N26" i="23"/>
  <c r="G26" i="23"/>
  <c r="I26" i="23" s="1"/>
  <c r="N25" i="23"/>
  <c r="G25" i="23"/>
  <c r="I25" i="23" s="1"/>
  <c r="N24" i="23"/>
  <c r="G24" i="23"/>
  <c r="I24" i="23" s="1"/>
  <c r="N23" i="23"/>
  <c r="G23" i="23"/>
  <c r="I23" i="23" s="1"/>
  <c r="N22" i="23"/>
  <c r="G22" i="23"/>
  <c r="M21" i="23"/>
  <c r="L21" i="23"/>
  <c r="J21" i="23"/>
  <c r="F21" i="23"/>
  <c r="C21" i="23"/>
  <c r="N20" i="23"/>
  <c r="G20" i="23"/>
  <c r="I20" i="23" s="1"/>
  <c r="N19" i="23"/>
  <c r="G19" i="23"/>
  <c r="I19" i="23" s="1"/>
  <c r="N18" i="23"/>
  <c r="G18" i="23"/>
  <c r="I18" i="23" s="1"/>
  <c r="N17" i="23"/>
  <c r="G17" i="23"/>
  <c r="I17" i="23" s="1"/>
  <c r="N16" i="23"/>
  <c r="G16" i="23"/>
  <c r="I16" i="23" s="1"/>
  <c r="N15" i="23"/>
  <c r="G15" i="23"/>
  <c r="M14" i="23"/>
  <c r="L14" i="23"/>
  <c r="J14" i="23"/>
  <c r="F14" i="23"/>
  <c r="C14" i="23"/>
  <c r="N13" i="23"/>
  <c r="G13" i="23"/>
  <c r="I13" i="23" s="1"/>
  <c r="N12" i="23"/>
  <c r="G12" i="23"/>
  <c r="I12" i="23" s="1"/>
  <c r="N11" i="23"/>
  <c r="G11" i="23"/>
  <c r="I11" i="23" s="1"/>
  <c r="N10" i="23"/>
  <c r="G10" i="23"/>
  <c r="I10" i="23" s="1"/>
  <c r="N9" i="23"/>
  <c r="G9" i="23"/>
  <c r="I9" i="23" s="1"/>
  <c r="N8" i="23"/>
  <c r="G8" i="23"/>
  <c r="O2" i="23"/>
  <c r="C2" i="23"/>
  <c r="M35" i="22"/>
  <c r="L35" i="22"/>
  <c r="J35" i="22"/>
  <c r="F35" i="22"/>
  <c r="C35" i="22"/>
  <c r="N34" i="22"/>
  <c r="G34" i="22"/>
  <c r="I34" i="22" s="1"/>
  <c r="N33" i="22"/>
  <c r="G33" i="22"/>
  <c r="I33" i="22" s="1"/>
  <c r="N32" i="22"/>
  <c r="G32" i="22"/>
  <c r="I32" i="22" s="1"/>
  <c r="N31" i="22"/>
  <c r="G31" i="22"/>
  <c r="I31" i="22" s="1"/>
  <c r="N30" i="22"/>
  <c r="G30" i="22"/>
  <c r="I30" i="22" s="1"/>
  <c r="N29" i="22"/>
  <c r="G29" i="22"/>
  <c r="M28" i="22"/>
  <c r="L28" i="22"/>
  <c r="J28" i="22"/>
  <c r="F28" i="22"/>
  <c r="C28" i="22"/>
  <c r="N27" i="22"/>
  <c r="G27" i="22"/>
  <c r="I27" i="22" s="1"/>
  <c r="N26" i="22"/>
  <c r="G26" i="22"/>
  <c r="I26" i="22" s="1"/>
  <c r="N25" i="22"/>
  <c r="G25" i="22"/>
  <c r="I25" i="22" s="1"/>
  <c r="N24" i="22"/>
  <c r="G24" i="22"/>
  <c r="I24" i="22" s="1"/>
  <c r="N23" i="22"/>
  <c r="G23" i="22"/>
  <c r="I23" i="22" s="1"/>
  <c r="N22" i="22"/>
  <c r="G22" i="22"/>
  <c r="M21" i="22"/>
  <c r="L21" i="22"/>
  <c r="J21" i="22"/>
  <c r="F21" i="22"/>
  <c r="C21" i="22"/>
  <c r="N20" i="22"/>
  <c r="G20" i="22"/>
  <c r="I20" i="22" s="1"/>
  <c r="N19" i="22"/>
  <c r="G19" i="22"/>
  <c r="I19" i="22" s="1"/>
  <c r="N18" i="22"/>
  <c r="G18" i="22"/>
  <c r="I18" i="22" s="1"/>
  <c r="N17" i="22"/>
  <c r="G17" i="22"/>
  <c r="I17" i="22" s="1"/>
  <c r="N16" i="22"/>
  <c r="G16" i="22"/>
  <c r="I16" i="22" s="1"/>
  <c r="N15" i="22"/>
  <c r="G15" i="22"/>
  <c r="M14" i="22"/>
  <c r="L14" i="22"/>
  <c r="J14" i="22"/>
  <c r="F14" i="22"/>
  <c r="C14" i="22"/>
  <c r="N13" i="22"/>
  <c r="G13" i="22"/>
  <c r="I13" i="22" s="1"/>
  <c r="N12" i="22"/>
  <c r="G12" i="22"/>
  <c r="I12" i="22" s="1"/>
  <c r="N11" i="22"/>
  <c r="G11" i="22"/>
  <c r="I11" i="22" s="1"/>
  <c r="N10" i="22"/>
  <c r="G10" i="22"/>
  <c r="I10" i="22" s="1"/>
  <c r="N9" i="22"/>
  <c r="G9" i="22"/>
  <c r="I9" i="22" s="1"/>
  <c r="N8" i="22"/>
  <c r="G8" i="22"/>
  <c r="O2" i="22"/>
  <c r="M35" i="21"/>
  <c r="L35" i="21"/>
  <c r="J35" i="21"/>
  <c r="F35" i="21"/>
  <c r="C35" i="21"/>
  <c r="N34" i="21"/>
  <c r="G34" i="21"/>
  <c r="I34" i="21" s="1"/>
  <c r="N33" i="21"/>
  <c r="G33" i="21"/>
  <c r="I33" i="21" s="1"/>
  <c r="N32" i="21"/>
  <c r="G32" i="21"/>
  <c r="I32" i="21" s="1"/>
  <c r="N31" i="21"/>
  <c r="G31" i="21"/>
  <c r="I31" i="21" s="1"/>
  <c r="N30" i="21"/>
  <c r="G30" i="21"/>
  <c r="I30" i="21" s="1"/>
  <c r="N29" i="21"/>
  <c r="G29" i="21"/>
  <c r="M28" i="21"/>
  <c r="L28" i="21"/>
  <c r="J28" i="21"/>
  <c r="F28" i="21"/>
  <c r="C28" i="21"/>
  <c r="N27" i="21"/>
  <c r="G27" i="21"/>
  <c r="I27" i="21" s="1"/>
  <c r="N26" i="21"/>
  <c r="G26" i="21"/>
  <c r="I26" i="21" s="1"/>
  <c r="N25" i="21"/>
  <c r="G25" i="21"/>
  <c r="I25" i="21" s="1"/>
  <c r="N24" i="21"/>
  <c r="G24" i="21"/>
  <c r="I24" i="21" s="1"/>
  <c r="N23" i="21"/>
  <c r="G23" i="21"/>
  <c r="I23" i="21" s="1"/>
  <c r="N22" i="21"/>
  <c r="G22" i="21"/>
  <c r="M21" i="21"/>
  <c r="L21" i="21"/>
  <c r="J21" i="21"/>
  <c r="F21" i="21"/>
  <c r="C21" i="21"/>
  <c r="N20" i="21"/>
  <c r="G20" i="21"/>
  <c r="I20" i="21" s="1"/>
  <c r="N19" i="21"/>
  <c r="G19" i="21"/>
  <c r="I19" i="21" s="1"/>
  <c r="N18" i="21"/>
  <c r="G18" i="21"/>
  <c r="I18" i="21" s="1"/>
  <c r="N17" i="21"/>
  <c r="G17" i="21"/>
  <c r="I17" i="21" s="1"/>
  <c r="N16" i="21"/>
  <c r="G16" i="21"/>
  <c r="I16" i="21" s="1"/>
  <c r="N15" i="21"/>
  <c r="G15" i="21"/>
  <c r="M14" i="21"/>
  <c r="L14" i="21"/>
  <c r="J14" i="21"/>
  <c r="F14" i="21"/>
  <c r="C14" i="21"/>
  <c r="N13" i="21"/>
  <c r="G13" i="21"/>
  <c r="I13" i="21" s="1"/>
  <c r="N12" i="21"/>
  <c r="G12" i="21"/>
  <c r="I12" i="21" s="1"/>
  <c r="N11" i="21"/>
  <c r="G11" i="21"/>
  <c r="I11" i="21" s="1"/>
  <c r="N10" i="21"/>
  <c r="G10" i="21"/>
  <c r="I10" i="21" s="1"/>
  <c r="N9" i="21"/>
  <c r="G9" i="21"/>
  <c r="I9" i="21" s="1"/>
  <c r="N8" i="21"/>
  <c r="G8" i="21"/>
  <c r="I8" i="21" s="1"/>
  <c r="O2" i="21"/>
  <c r="C2" i="21"/>
  <c r="M35" i="20"/>
  <c r="L35" i="20"/>
  <c r="J35" i="20"/>
  <c r="F35" i="20"/>
  <c r="C35" i="20"/>
  <c r="N34" i="20"/>
  <c r="G34" i="20"/>
  <c r="I34" i="20" s="1"/>
  <c r="N33" i="20"/>
  <c r="G33" i="20"/>
  <c r="I33" i="20" s="1"/>
  <c r="N32" i="20"/>
  <c r="G32" i="20"/>
  <c r="I32" i="20" s="1"/>
  <c r="N31" i="20"/>
  <c r="G31" i="20"/>
  <c r="I31" i="20" s="1"/>
  <c r="N30" i="20"/>
  <c r="G30" i="20"/>
  <c r="I30" i="20" s="1"/>
  <c r="N29" i="20"/>
  <c r="G29" i="20"/>
  <c r="M28" i="20"/>
  <c r="L28" i="20"/>
  <c r="J28" i="20"/>
  <c r="F28" i="20"/>
  <c r="C28" i="20"/>
  <c r="N27" i="20"/>
  <c r="G27" i="20"/>
  <c r="I27" i="20" s="1"/>
  <c r="N26" i="20"/>
  <c r="G26" i="20"/>
  <c r="I26" i="20" s="1"/>
  <c r="N25" i="20"/>
  <c r="G25" i="20"/>
  <c r="I25" i="20" s="1"/>
  <c r="N24" i="20"/>
  <c r="G24" i="20"/>
  <c r="I24" i="20" s="1"/>
  <c r="N23" i="20"/>
  <c r="G23" i="20"/>
  <c r="I23" i="20" s="1"/>
  <c r="N22" i="20"/>
  <c r="G22" i="20"/>
  <c r="M21" i="20"/>
  <c r="L21" i="20"/>
  <c r="J21" i="20"/>
  <c r="F21" i="20"/>
  <c r="C21" i="20"/>
  <c r="N20" i="20"/>
  <c r="G20" i="20"/>
  <c r="I20" i="20" s="1"/>
  <c r="N19" i="20"/>
  <c r="G19" i="20"/>
  <c r="I19" i="20" s="1"/>
  <c r="N18" i="20"/>
  <c r="G18" i="20"/>
  <c r="I18" i="20" s="1"/>
  <c r="N17" i="20"/>
  <c r="G17" i="20"/>
  <c r="I17" i="20" s="1"/>
  <c r="N16" i="20"/>
  <c r="G16" i="20"/>
  <c r="I16" i="20" s="1"/>
  <c r="N15" i="20"/>
  <c r="G15" i="20"/>
  <c r="M14" i="20"/>
  <c r="L14" i="20"/>
  <c r="J14" i="20"/>
  <c r="F14" i="20"/>
  <c r="C14" i="20"/>
  <c r="N13" i="20"/>
  <c r="G13" i="20"/>
  <c r="I13" i="20" s="1"/>
  <c r="N12" i="20"/>
  <c r="G12" i="20"/>
  <c r="I12" i="20" s="1"/>
  <c r="N11" i="20"/>
  <c r="G11" i="20"/>
  <c r="I11" i="20" s="1"/>
  <c r="N10" i="20"/>
  <c r="G10" i="20"/>
  <c r="I10" i="20" s="1"/>
  <c r="N9" i="20"/>
  <c r="G9" i="20"/>
  <c r="I9" i="20" s="1"/>
  <c r="N8" i="20"/>
  <c r="G8" i="20"/>
  <c r="I8" i="20" s="1"/>
  <c r="O2" i="20"/>
  <c r="C2" i="20"/>
  <c r="M35" i="19"/>
  <c r="L35" i="19"/>
  <c r="J35" i="19"/>
  <c r="F35" i="19"/>
  <c r="C35" i="19"/>
  <c r="N34" i="19"/>
  <c r="G34" i="19"/>
  <c r="I34" i="19" s="1"/>
  <c r="N33" i="19"/>
  <c r="G33" i="19"/>
  <c r="I33" i="19" s="1"/>
  <c r="N32" i="19"/>
  <c r="G32" i="19"/>
  <c r="I32" i="19" s="1"/>
  <c r="N31" i="19"/>
  <c r="G31" i="19"/>
  <c r="I31" i="19" s="1"/>
  <c r="N30" i="19"/>
  <c r="G30" i="19"/>
  <c r="I30" i="19" s="1"/>
  <c r="N29" i="19"/>
  <c r="G29" i="19"/>
  <c r="M28" i="19"/>
  <c r="L28" i="19"/>
  <c r="J28" i="19"/>
  <c r="F28" i="19"/>
  <c r="C28" i="19"/>
  <c r="N27" i="19"/>
  <c r="G27" i="19"/>
  <c r="I27" i="19" s="1"/>
  <c r="N26" i="19"/>
  <c r="G26" i="19"/>
  <c r="I26" i="19" s="1"/>
  <c r="N25" i="19"/>
  <c r="G25" i="19"/>
  <c r="I25" i="19" s="1"/>
  <c r="N24" i="19"/>
  <c r="G24" i="19"/>
  <c r="I24" i="19" s="1"/>
  <c r="N23" i="19"/>
  <c r="G23" i="19"/>
  <c r="I23" i="19" s="1"/>
  <c r="N22" i="19"/>
  <c r="G22" i="19"/>
  <c r="M21" i="19"/>
  <c r="L21" i="19"/>
  <c r="J21" i="19"/>
  <c r="F21" i="19"/>
  <c r="C21" i="19"/>
  <c r="N20" i="19"/>
  <c r="G20" i="19"/>
  <c r="I20" i="19" s="1"/>
  <c r="N19" i="19"/>
  <c r="G19" i="19"/>
  <c r="I19" i="19" s="1"/>
  <c r="N18" i="19"/>
  <c r="G18" i="19"/>
  <c r="I18" i="19" s="1"/>
  <c r="N17" i="19"/>
  <c r="G17" i="19"/>
  <c r="I17" i="19" s="1"/>
  <c r="N16" i="19"/>
  <c r="G16" i="19"/>
  <c r="I16" i="19" s="1"/>
  <c r="N15" i="19"/>
  <c r="G15" i="19"/>
  <c r="M14" i="19"/>
  <c r="L14" i="19"/>
  <c r="J14" i="19"/>
  <c r="F14" i="19"/>
  <c r="C14" i="19"/>
  <c r="N13" i="19"/>
  <c r="G13" i="19"/>
  <c r="I13" i="19" s="1"/>
  <c r="N12" i="19"/>
  <c r="G12" i="19"/>
  <c r="I12" i="19" s="1"/>
  <c r="N11" i="19"/>
  <c r="G11" i="19"/>
  <c r="I11" i="19" s="1"/>
  <c r="N10" i="19"/>
  <c r="G10" i="19"/>
  <c r="I10" i="19" s="1"/>
  <c r="N9" i="19"/>
  <c r="G9" i="19"/>
  <c r="I9" i="19" s="1"/>
  <c r="N8" i="19"/>
  <c r="G8" i="19"/>
  <c r="I8" i="19" s="1"/>
  <c r="O2" i="19"/>
  <c r="C2" i="19"/>
  <c r="M35" i="18"/>
  <c r="L35" i="18"/>
  <c r="J35" i="18"/>
  <c r="F35" i="18"/>
  <c r="C35" i="18"/>
  <c r="N34" i="18"/>
  <c r="G34" i="18"/>
  <c r="I34" i="18" s="1"/>
  <c r="N33" i="18"/>
  <c r="G33" i="18"/>
  <c r="I33" i="18" s="1"/>
  <c r="N32" i="18"/>
  <c r="G32" i="18"/>
  <c r="I32" i="18" s="1"/>
  <c r="N31" i="18"/>
  <c r="G31" i="18"/>
  <c r="I31" i="18" s="1"/>
  <c r="N30" i="18"/>
  <c r="G30" i="18"/>
  <c r="I30" i="18" s="1"/>
  <c r="N29" i="18"/>
  <c r="G29" i="18"/>
  <c r="M28" i="18"/>
  <c r="L28" i="18"/>
  <c r="J28" i="18"/>
  <c r="F28" i="18"/>
  <c r="C28" i="18"/>
  <c r="N27" i="18"/>
  <c r="G27" i="18"/>
  <c r="I27" i="18" s="1"/>
  <c r="N26" i="18"/>
  <c r="G26" i="18"/>
  <c r="I26" i="18" s="1"/>
  <c r="N25" i="18"/>
  <c r="G25" i="18"/>
  <c r="I25" i="18" s="1"/>
  <c r="N24" i="18"/>
  <c r="G24" i="18"/>
  <c r="I24" i="18" s="1"/>
  <c r="N23" i="18"/>
  <c r="G23" i="18"/>
  <c r="I23" i="18" s="1"/>
  <c r="N22" i="18"/>
  <c r="G22" i="18"/>
  <c r="M21" i="18"/>
  <c r="L21" i="18"/>
  <c r="J21" i="18"/>
  <c r="F21" i="18"/>
  <c r="C21" i="18"/>
  <c r="N20" i="18"/>
  <c r="G20" i="18"/>
  <c r="I20" i="18" s="1"/>
  <c r="N19" i="18"/>
  <c r="G19" i="18"/>
  <c r="I19" i="18" s="1"/>
  <c r="N18" i="18"/>
  <c r="G18" i="18"/>
  <c r="I18" i="18" s="1"/>
  <c r="N17" i="18"/>
  <c r="G17" i="18"/>
  <c r="I17" i="18" s="1"/>
  <c r="N16" i="18"/>
  <c r="G16" i="18"/>
  <c r="I16" i="18" s="1"/>
  <c r="N15" i="18"/>
  <c r="G15" i="18"/>
  <c r="M14" i="18"/>
  <c r="L14" i="18"/>
  <c r="J14" i="18"/>
  <c r="F14" i="18"/>
  <c r="N13" i="18"/>
  <c r="G13" i="18"/>
  <c r="I13" i="18" s="1"/>
  <c r="N12" i="18"/>
  <c r="G12" i="18"/>
  <c r="I12" i="18" s="1"/>
  <c r="N11" i="18"/>
  <c r="G11" i="18"/>
  <c r="I11" i="18" s="1"/>
  <c r="N10" i="18"/>
  <c r="G10" i="18"/>
  <c r="I10" i="18" s="1"/>
  <c r="N9" i="18"/>
  <c r="G9" i="18"/>
  <c r="I9" i="18" s="1"/>
  <c r="N8" i="18"/>
  <c r="G8" i="18"/>
  <c r="O2" i="18"/>
  <c r="C2" i="18"/>
  <c r="A21" i="1"/>
  <c r="A28" i="1" s="1"/>
  <c r="A35" i="1" s="1"/>
  <c r="A14" i="21" s="1"/>
  <c r="O2" i="1"/>
  <c r="N21" i="21" l="1"/>
  <c r="N35" i="21"/>
  <c r="N14" i="20"/>
  <c r="N14" i="24"/>
  <c r="N35" i="20"/>
  <c r="N28" i="20"/>
  <c r="N14" i="23"/>
  <c r="N14" i="18"/>
  <c r="N28" i="29"/>
  <c r="N28" i="24"/>
  <c r="N21" i="22"/>
  <c r="C36" i="24"/>
  <c r="N21" i="19"/>
  <c r="N28" i="22"/>
  <c r="G35" i="23"/>
  <c r="I35" i="23" s="1"/>
  <c r="Q37" i="23" s="1"/>
  <c r="N35" i="23"/>
  <c r="N14" i="21"/>
  <c r="J36" i="22"/>
  <c r="N35" i="24"/>
  <c r="C36" i="25"/>
  <c r="N21" i="25"/>
  <c r="N28" i="28"/>
  <c r="N28" i="19"/>
  <c r="N35" i="19"/>
  <c r="N28" i="21"/>
  <c r="N35" i="22"/>
  <c r="N21" i="23"/>
  <c r="N21" i="24"/>
  <c r="N35" i="25"/>
  <c r="N14" i="27"/>
  <c r="N14" i="28"/>
  <c r="N21" i="28"/>
  <c r="N35" i="28"/>
  <c r="A21" i="21"/>
  <c r="A28" i="21" s="1"/>
  <c r="A35" i="21" s="1"/>
  <c r="A14" i="20" s="1"/>
  <c r="G35" i="21"/>
  <c r="I35" i="21" s="1"/>
  <c r="Q37" i="21" s="1"/>
  <c r="G21" i="22"/>
  <c r="I21" i="22" s="1"/>
  <c r="G21" i="27"/>
  <c r="I21" i="27" s="1"/>
  <c r="N28" i="25"/>
  <c r="N14" i="19"/>
  <c r="G35" i="25"/>
  <c r="I35" i="25" s="1"/>
  <c r="Q37" i="25" s="1"/>
  <c r="C36" i="26"/>
  <c r="N14" i="26"/>
  <c r="N28" i="26"/>
  <c r="N35" i="26"/>
  <c r="N28" i="27"/>
  <c r="J36" i="28"/>
  <c r="N21" i="20"/>
  <c r="G35" i="24"/>
  <c r="I35" i="24" s="1"/>
  <c r="Q37" i="24" s="1"/>
  <c r="N14" i="25"/>
  <c r="J36" i="27"/>
  <c r="N35" i="18"/>
  <c r="G35" i="19"/>
  <c r="I35" i="19" s="1"/>
  <c r="Q37" i="19" s="1"/>
  <c r="C36" i="21"/>
  <c r="N14" i="22"/>
  <c r="C36" i="23"/>
  <c r="N28" i="23"/>
  <c r="G35" i="26"/>
  <c r="I35" i="26" s="1"/>
  <c r="I5" i="27" s="1"/>
  <c r="N21" i="27"/>
  <c r="N14" i="29"/>
  <c r="G21" i="28"/>
  <c r="I21" i="28" s="1"/>
  <c r="J36" i="20"/>
  <c r="G14" i="24"/>
  <c r="I14" i="24" s="1"/>
  <c r="G28" i="24"/>
  <c r="I28" i="24" s="1"/>
  <c r="G14" i="25"/>
  <c r="I14" i="25" s="1"/>
  <c r="G28" i="25"/>
  <c r="I28" i="25" s="1"/>
  <c r="G14" i="26"/>
  <c r="I14" i="26" s="1"/>
  <c r="G28" i="26"/>
  <c r="I28" i="26" s="1"/>
  <c r="C36" i="29"/>
  <c r="G35" i="29"/>
  <c r="I35" i="29" s="1"/>
  <c r="Q37" i="29" s="1"/>
  <c r="J36" i="18"/>
  <c r="N21" i="18"/>
  <c r="J36" i="21"/>
  <c r="J36" i="23"/>
  <c r="J36" i="24"/>
  <c r="G21" i="24"/>
  <c r="I21" i="24" s="1"/>
  <c r="J36" i="25"/>
  <c r="G21" i="25"/>
  <c r="I21" i="25" s="1"/>
  <c r="J36" i="26"/>
  <c r="G21" i="26"/>
  <c r="I21" i="26" s="1"/>
  <c r="C36" i="27"/>
  <c r="G35" i="27"/>
  <c r="I35" i="27" s="1"/>
  <c r="C36" i="28"/>
  <c r="G35" i="28"/>
  <c r="I35" i="28" s="1"/>
  <c r="G28" i="29"/>
  <c r="I28" i="29" s="1"/>
  <c r="N28" i="18"/>
  <c r="J36" i="19"/>
  <c r="G14" i="22"/>
  <c r="I14" i="22" s="1"/>
  <c r="G14" i="27"/>
  <c r="G28" i="27"/>
  <c r="I28" i="27" s="1"/>
  <c r="G14" i="28"/>
  <c r="I14" i="28" s="1"/>
  <c r="G28" i="28"/>
  <c r="I28" i="28" s="1"/>
  <c r="G14" i="29"/>
  <c r="I14" i="29" s="1"/>
  <c r="J36" i="29"/>
  <c r="G21" i="29"/>
  <c r="I21" i="29" s="1"/>
  <c r="I8" i="29"/>
  <c r="I15" i="29"/>
  <c r="I22" i="29"/>
  <c r="I29" i="29"/>
  <c r="I8" i="28"/>
  <c r="I15" i="28"/>
  <c r="I22" i="28"/>
  <c r="I29" i="28"/>
  <c r="I8" i="27"/>
  <c r="I15" i="27"/>
  <c r="I22" i="27"/>
  <c r="I29" i="27"/>
  <c r="I8" i="26"/>
  <c r="I15" i="26"/>
  <c r="I22" i="26"/>
  <c r="I29" i="26"/>
  <c r="I8" i="25"/>
  <c r="I15" i="25"/>
  <c r="I22" i="25"/>
  <c r="I29" i="25"/>
  <c r="I8" i="24"/>
  <c r="I15" i="24"/>
  <c r="I22" i="24"/>
  <c r="I29" i="24"/>
  <c r="G28" i="23"/>
  <c r="I28" i="23" s="1"/>
  <c r="G21" i="23"/>
  <c r="I21" i="23" s="1"/>
  <c r="G14" i="23"/>
  <c r="I14" i="23" s="1"/>
  <c r="G35" i="22"/>
  <c r="I35" i="22" s="1"/>
  <c r="C36" i="22"/>
  <c r="G28" i="22"/>
  <c r="I28" i="22" s="1"/>
  <c r="G35" i="18"/>
  <c r="I35" i="18" s="1"/>
  <c r="G28" i="18"/>
  <c r="I28" i="18" s="1"/>
  <c r="G21" i="18"/>
  <c r="I21" i="18" s="1"/>
  <c r="G14" i="18"/>
  <c r="I8" i="18"/>
  <c r="G28" i="19"/>
  <c r="I28" i="19" s="1"/>
  <c r="C36" i="19"/>
  <c r="G21" i="19"/>
  <c r="I21" i="19" s="1"/>
  <c r="G35" i="20"/>
  <c r="I35" i="20" s="1"/>
  <c r="C36" i="20"/>
  <c r="G28" i="20"/>
  <c r="I28" i="20" s="1"/>
  <c r="G21" i="20"/>
  <c r="I21" i="20" s="1"/>
  <c r="G14" i="20"/>
  <c r="I14" i="20" s="1"/>
  <c r="G28" i="21"/>
  <c r="I28" i="21" s="1"/>
  <c r="G21" i="21"/>
  <c r="I21" i="21" s="1"/>
  <c r="I8" i="23"/>
  <c r="I15" i="23"/>
  <c r="I22" i="23"/>
  <c r="I29" i="23"/>
  <c r="I8" i="22"/>
  <c r="I15" i="22"/>
  <c r="I22" i="22"/>
  <c r="I29" i="22"/>
  <c r="C14" i="18"/>
  <c r="C36" i="18" s="1"/>
  <c r="G14" i="21"/>
  <c r="I15" i="21"/>
  <c r="I22" i="21"/>
  <c r="I29" i="21"/>
  <c r="I15" i="20"/>
  <c r="I22" i="20"/>
  <c r="I29" i="20"/>
  <c r="G14" i="19"/>
  <c r="I15" i="19"/>
  <c r="I22" i="19"/>
  <c r="I29" i="19"/>
  <c r="I15" i="18"/>
  <c r="I22" i="18"/>
  <c r="I29" i="18"/>
  <c r="I5" i="24" l="1"/>
  <c r="I5" i="20"/>
  <c r="G36" i="25"/>
  <c r="I36" i="25" s="1"/>
  <c r="G36" i="27"/>
  <c r="I36" i="27" s="1"/>
  <c r="I14" i="27"/>
  <c r="A21" i="20"/>
  <c r="A28" i="20" s="1"/>
  <c r="A35" i="20" s="1"/>
  <c r="A14" i="19" s="1"/>
  <c r="A21" i="19" s="1"/>
  <c r="A28" i="19" s="1"/>
  <c r="A35" i="19" s="1"/>
  <c r="A14" i="18" s="1"/>
  <c r="A21" i="18" s="1"/>
  <c r="A28" i="18" s="1"/>
  <c r="A35" i="18" s="1"/>
  <c r="A14" i="22" s="1"/>
  <c r="A21" i="22" s="1"/>
  <c r="A28" i="22" s="1"/>
  <c r="A35" i="22" s="1"/>
  <c r="A14" i="23" s="1"/>
  <c r="A21" i="23" s="1"/>
  <c r="A28" i="23" s="1"/>
  <c r="A35" i="23" s="1"/>
  <c r="A14" i="24" s="1"/>
  <c r="A21" i="24" s="1"/>
  <c r="A28" i="24" s="1"/>
  <c r="A35" i="24" s="1"/>
  <c r="A14" i="25" s="1"/>
  <c r="A21" i="25" s="1"/>
  <c r="A28" i="25" s="1"/>
  <c r="A35" i="25" s="1"/>
  <c r="A14" i="26" s="1"/>
  <c r="A21" i="26" s="1"/>
  <c r="A28" i="26" s="1"/>
  <c r="A35" i="26" s="1"/>
  <c r="A14" i="27" s="1"/>
  <c r="A21" i="27" s="1"/>
  <c r="A28" i="27" s="1"/>
  <c r="A35" i="27" s="1"/>
  <c r="A14" i="28" s="1"/>
  <c r="A21" i="28" s="1"/>
  <c r="A28" i="28" s="1"/>
  <c r="A35" i="28" s="1"/>
  <c r="A14" i="29" s="1"/>
  <c r="A21" i="29" s="1"/>
  <c r="A28" i="29" s="1"/>
  <c r="A35" i="29" s="1"/>
  <c r="G36" i="18"/>
  <c r="I36" i="18" s="1"/>
  <c r="Q37" i="26"/>
  <c r="G36" i="29"/>
  <c r="I36" i="29" s="1"/>
  <c r="I5" i="18"/>
  <c r="I5" i="26"/>
  <c r="I5" i="25"/>
  <c r="G36" i="23"/>
  <c r="I36" i="23" s="1"/>
  <c r="Q37" i="28"/>
  <c r="I5" i="29"/>
  <c r="G36" i="24"/>
  <c r="I36" i="24" s="1"/>
  <c r="G36" i="26"/>
  <c r="I36" i="26" s="1"/>
  <c r="G36" i="28"/>
  <c r="I36" i="28" s="1"/>
  <c r="G36" i="22"/>
  <c r="I36" i="22" s="1"/>
  <c r="Q37" i="27"/>
  <c r="I5" i="28"/>
  <c r="Q37" i="22"/>
  <c r="I5" i="23"/>
  <c r="Q37" i="18"/>
  <c r="I5" i="22"/>
  <c r="G36" i="20"/>
  <c r="I36" i="20" s="1"/>
  <c r="Q37" i="20"/>
  <c r="I5" i="19"/>
  <c r="I14" i="18"/>
  <c r="I14" i="21"/>
  <c r="G36" i="21"/>
  <c r="I36" i="21" s="1"/>
  <c r="I14" i="19"/>
  <c r="G36" i="19"/>
  <c r="I36" i="19" s="1"/>
  <c r="C2" i="1" l="1"/>
  <c r="K6" i="1" l="1"/>
  <c r="N34" i="1"/>
  <c r="N33" i="1"/>
  <c r="N32" i="1"/>
  <c r="N31" i="1"/>
  <c r="N30" i="1"/>
  <c r="N29" i="1"/>
  <c r="N27" i="1"/>
  <c r="N26" i="1"/>
  <c r="N25" i="1"/>
  <c r="N24" i="1"/>
  <c r="N23" i="1"/>
  <c r="N22" i="1"/>
  <c r="N20" i="1"/>
  <c r="N19" i="1"/>
  <c r="N18" i="1"/>
  <c r="N17" i="1"/>
  <c r="N16" i="1"/>
  <c r="N15" i="1"/>
  <c r="N13" i="1"/>
  <c r="N12" i="1"/>
  <c r="N11" i="1"/>
  <c r="N10" i="1"/>
  <c r="N9" i="1"/>
  <c r="N8" i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J35" i="1"/>
  <c r="J28" i="1"/>
  <c r="J21" i="1"/>
  <c r="J14" i="1"/>
  <c r="L14" i="1"/>
  <c r="F35" i="1"/>
  <c r="F28" i="1"/>
  <c r="F21" i="1"/>
  <c r="G30" i="1"/>
  <c r="I30" i="1" s="1"/>
  <c r="G31" i="1"/>
  <c r="I31" i="1" s="1"/>
  <c r="G32" i="1"/>
  <c r="I32" i="1" s="1"/>
  <c r="G33" i="1"/>
  <c r="I33" i="1" s="1"/>
  <c r="G34" i="1"/>
  <c r="I34" i="1" s="1"/>
  <c r="G29" i="1"/>
  <c r="I29" i="1" s="1"/>
  <c r="G23" i="1"/>
  <c r="I23" i="1" s="1"/>
  <c r="G24" i="1"/>
  <c r="I24" i="1" s="1"/>
  <c r="G25" i="1"/>
  <c r="I25" i="1" s="1"/>
  <c r="G26" i="1"/>
  <c r="I26" i="1" s="1"/>
  <c r="G27" i="1"/>
  <c r="I27" i="1" s="1"/>
  <c r="G22" i="1"/>
  <c r="I22" i="1" s="1"/>
  <c r="G16" i="1"/>
  <c r="I16" i="1" s="1"/>
  <c r="G17" i="1"/>
  <c r="I17" i="1" s="1"/>
  <c r="G18" i="1"/>
  <c r="I18" i="1" s="1"/>
  <c r="G19" i="1"/>
  <c r="I19" i="1" s="1"/>
  <c r="G15" i="1"/>
  <c r="I15" i="1" s="1"/>
  <c r="G20" i="1"/>
  <c r="I20" i="1" s="1"/>
  <c r="F14" i="1"/>
  <c r="L35" i="1"/>
  <c r="M35" i="1"/>
  <c r="L28" i="1"/>
  <c r="M28" i="1"/>
  <c r="L21" i="1"/>
  <c r="M21" i="1"/>
  <c r="M14" i="1"/>
  <c r="N14" i="1" l="1"/>
  <c r="N21" i="1"/>
  <c r="N35" i="1"/>
  <c r="N28" i="1"/>
  <c r="J36" i="1"/>
  <c r="G28" i="1"/>
  <c r="G21" i="1"/>
  <c r="G35" i="1"/>
  <c r="I35" i="1" s="1"/>
  <c r="G14" i="1"/>
  <c r="K14" i="1" s="1"/>
  <c r="Q37" i="1" l="1"/>
  <c r="I5" i="21"/>
  <c r="I28" i="1"/>
  <c r="I21" i="1"/>
  <c r="I14" i="1"/>
  <c r="L6" i="1"/>
  <c r="K21" i="1" s="1"/>
  <c r="G36" i="1"/>
  <c r="I36" i="1" s="1"/>
  <c r="M6" i="1" l="1"/>
  <c r="K28" i="1" s="1"/>
  <c r="N6" i="1" l="1"/>
  <c r="K35" i="1" s="1"/>
  <c r="K36" i="1" l="1"/>
  <c r="Q36" i="1" l="1"/>
  <c r="I4" i="21"/>
  <c r="K6" i="21" l="1"/>
  <c r="K14" i="21" s="1"/>
  <c r="L6" i="21" s="1"/>
  <c r="K21" i="21" s="1"/>
  <c r="M6" i="21" s="1"/>
  <c r="K28" i="21" s="1"/>
  <c r="N6" i="21" s="1"/>
  <c r="K35" i="21" s="1"/>
  <c r="K36" i="21" s="1"/>
  <c r="Q36" i="21" l="1"/>
  <c r="I4" i="20"/>
  <c r="K6" i="20" l="1"/>
  <c r="K14" i="20" s="1"/>
  <c r="L6" i="20" s="1"/>
  <c r="K21" i="20" s="1"/>
  <c r="M6" i="20" s="1"/>
  <c r="K28" i="20" s="1"/>
  <c r="N6" i="20" s="1"/>
  <c r="K35" i="20" s="1"/>
  <c r="K36" i="20" s="1"/>
  <c r="Q36" i="20" l="1"/>
  <c r="I4" i="19"/>
  <c r="K6" i="19" l="1"/>
  <c r="K14" i="19" s="1"/>
  <c r="L6" i="19" s="1"/>
  <c r="K21" i="19" s="1"/>
  <c r="M6" i="19" s="1"/>
  <c r="K28" i="19" s="1"/>
  <c r="N6" i="19" s="1"/>
  <c r="K35" i="19" s="1"/>
  <c r="K36" i="19" s="1"/>
  <c r="Q36" i="19" l="1"/>
  <c r="I4" i="18"/>
  <c r="K6" i="18" l="1"/>
  <c r="K14" i="18" s="1"/>
  <c r="L6" i="18" s="1"/>
  <c r="K21" i="18" s="1"/>
  <c r="M6" i="18" s="1"/>
  <c r="K28" i="18" s="1"/>
  <c r="N6" i="18" s="1"/>
  <c r="K35" i="18" s="1"/>
  <c r="K36" i="18" s="1"/>
  <c r="Q36" i="18" l="1"/>
  <c r="I4" i="22"/>
  <c r="K6" i="22" s="1"/>
  <c r="K14" i="22" s="1"/>
  <c r="L6" i="22" s="1"/>
  <c r="K21" i="22" s="1"/>
  <c r="M6" i="22" l="1"/>
  <c r="K28" i="22" s="1"/>
  <c r="N6" i="22" l="1"/>
  <c r="K35" i="22" s="1"/>
  <c r="K36" i="22" s="1"/>
  <c r="Q36" i="22" l="1"/>
  <c r="I4" i="23"/>
  <c r="K6" i="23" s="1"/>
  <c r="K14" i="23" s="1"/>
  <c r="L6" i="23" l="1"/>
  <c r="K21" i="23" s="1"/>
  <c r="M6" i="23" l="1"/>
  <c r="K28" i="23" s="1"/>
  <c r="N6" i="23" s="1"/>
  <c r="K35" i="23" s="1"/>
  <c r="K36" i="23" s="1"/>
  <c r="Q36" i="23" l="1"/>
  <c r="I4" i="24"/>
  <c r="K6" i="24" s="1"/>
  <c r="K14" i="24" s="1"/>
  <c r="L6" i="24" s="1"/>
  <c r="K21" i="24" s="1"/>
  <c r="M6" i="24" s="1"/>
  <c r="K28" i="24" s="1"/>
  <c r="N6" i="24" s="1"/>
  <c r="K35" i="24" s="1"/>
  <c r="K36" i="24" s="1"/>
  <c r="Q36" i="24" l="1"/>
  <c r="I4" i="25"/>
  <c r="K6" i="25" s="1"/>
  <c r="K14" i="25" s="1"/>
  <c r="L6" i="25" l="1"/>
  <c r="K21" i="25" s="1"/>
  <c r="M6" i="25" l="1"/>
  <c r="K28" i="25" s="1"/>
  <c r="N6" i="25" s="1"/>
  <c r="K35" i="25" s="1"/>
  <c r="K36" i="25" s="1"/>
  <c r="Q36" i="25" l="1"/>
  <c r="I4" i="26"/>
  <c r="K6" i="26" l="1"/>
  <c r="K14" i="26" s="1"/>
  <c r="L6" i="26" s="1"/>
  <c r="K21" i="26" s="1"/>
  <c r="M6" i="26" l="1"/>
  <c r="K28" i="26" s="1"/>
  <c r="N6" i="26" s="1"/>
  <c r="K35" i="26" s="1"/>
  <c r="K36" i="26" s="1"/>
  <c r="Q36" i="26" l="1"/>
  <c r="I4" i="27"/>
  <c r="K6" i="27" s="1"/>
  <c r="K14" i="27" s="1"/>
  <c r="L6" i="27" s="1"/>
  <c r="K21" i="27" s="1"/>
  <c r="M6" i="27" s="1"/>
  <c r="K28" i="27" s="1"/>
  <c r="N6" i="27" s="1"/>
  <c r="K35" i="27" s="1"/>
  <c r="K36" i="27" s="1"/>
  <c r="Q36" i="27" l="1"/>
  <c r="I4" i="28"/>
  <c r="K6" i="28" s="1"/>
  <c r="K14" i="28" s="1"/>
  <c r="L6" i="28" s="1"/>
  <c r="K21" i="28" s="1"/>
  <c r="M6" i="28" s="1"/>
  <c r="K28" i="28" s="1"/>
  <c r="N6" i="28" s="1"/>
  <c r="K35" i="28" s="1"/>
  <c r="K36" i="28" s="1"/>
  <c r="Q36" i="28" l="1"/>
  <c r="I4" i="29"/>
  <c r="K6" i="29" s="1"/>
  <c r="K14" i="29" s="1"/>
  <c r="L6" i="29" s="1"/>
  <c r="K21" i="29" s="1"/>
  <c r="M6" i="29" s="1"/>
  <c r="K28" i="29" s="1"/>
  <c r="N6" i="29" s="1"/>
  <c r="K35" i="29" s="1"/>
  <c r="K36" i="29" s="1"/>
  <c r="Q36" i="29" s="1"/>
</calcChain>
</file>

<file path=xl/sharedStrings.xml><?xml version="1.0" encoding="utf-8"?>
<sst xmlns="http://schemas.openxmlformats.org/spreadsheetml/2006/main" count="928" uniqueCount="58">
  <si>
    <t>Mo</t>
  </si>
  <si>
    <t>Do</t>
  </si>
  <si>
    <t>Fr</t>
  </si>
  <si>
    <t>Soll</t>
  </si>
  <si>
    <t>Ist</t>
  </si>
  <si>
    <t>Haben</t>
  </si>
  <si>
    <t>außer Haus</t>
  </si>
  <si>
    <t xml:space="preserve"> gesamte Arbeitszeit</t>
  </si>
  <si>
    <t>VZ-Zeiten</t>
  </si>
  <si>
    <t xml:space="preserve">Name: </t>
  </si>
  <si>
    <t>∑</t>
  </si>
  <si>
    <t>Di</t>
  </si>
  <si>
    <t>Mi</t>
  </si>
  <si>
    <t>Sonst</t>
  </si>
  <si>
    <t>von</t>
  </si>
  <si>
    <t>bis</t>
  </si>
  <si>
    <t>Pause</t>
  </si>
  <si>
    <t>Unterschrift Leitung</t>
  </si>
  <si>
    <t>KW</t>
  </si>
  <si>
    <t>Datum</t>
  </si>
  <si>
    <r>
      <rPr>
        <b/>
        <sz val="20"/>
        <rFont val="Arial"/>
        <family val="2"/>
      </rPr>
      <t>Arbeitszeiterfassung (Freizeitausgleich)</t>
    </r>
    <r>
      <rPr>
        <sz val="10"/>
        <rFont val="Arial"/>
        <family val="2"/>
      </rPr>
      <t xml:space="preserve">
</t>
    </r>
    <r>
      <rPr>
        <sz val="11"/>
        <rFont val="Arial"/>
        <family val="2"/>
      </rPr>
      <t>(Dieser Vordruck ist zu verwenden, wenn auf der Erklärung die Option "Freizeitausgleich" angekreuzt wurde)</t>
    </r>
  </si>
  <si>
    <t>Haben/ Woche</t>
  </si>
  <si>
    <t>Haben ges.</t>
  </si>
  <si>
    <t>Unterschrift Mitarbeiter/-in</t>
  </si>
  <si>
    <t>bei relevanter Abweichung von der Soll-Arbeitszeit (= mehr als 30 min.) Begründung</t>
  </si>
  <si>
    <t>Mehrarbeit in der vierten Woche
 = Übertrag auf neues Blatt</t>
  </si>
  <si>
    <t>Übertrag der Gesamtstunden aus letztem Blatt</t>
  </si>
  <si>
    <t>Gesamtstunden 
= Übertrag auf neues Blatt</t>
  </si>
  <si>
    <t>Begründung für Abweichung Soll / Ist bei VZ</t>
  </si>
  <si>
    <t>TE</t>
  </si>
  <si>
    <t>AZ aus Bereit-schaft</t>
  </si>
  <si>
    <t>Std / Woche</t>
  </si>
  <si>
    <t>Übertrag der Mehrarbeit aus vierter Woche vom letzten Blatt</t>
  </si>
  <si>
    <t>U/K/F/AB</t>
  </si>
  <si>
    <t>Arbeitsumfang in Prozent</t>
  </si>
  <si>
    <t>Stundenumpfang in Stunden:Minuten</t>
  </si>
  <si>
    <t>Name, Vorname</t>
  </si>
  <si>
    <t>Einrichtung</t>
  </si>
  <si>
    <t>Personalangaben</t>
  </si>
  <si>
    <t>Ferienbetreuung Ja/Nein</t>
  </si>
  <si>
    <t>Arbeitstage/ Woche</t>
  </si>
  <si>
    <t>Österfeldschule Vaihingen</t>
  </si>
  <si>
    <t>nein</t>
  </si>
  <si>
    <t>ja</t>
  </si>
  <si>
    <t>Überstunden letztes Jahr</t>
  </si>
  <si>
    <t>-</t>
  </si>
  <si>
    <t>erster Montag im Jahr</t>
  </si>
  <si>
    <t>Alternativer Stundenumpfang (St:Min)</t>
  </si>
  <si>
    <t>Übertrag letztes Blatt 4. Woche</t>
  </si>
  <si>
    <t>U</t>
  </si>
  <si>
    <t>K</t>
  </si>
  <si>
    <t>F</t>
  </si>
  <si>
    <t>AB</t>
  </si>
  <si>
    <t>Nass, Daniel</t>
  </si>
  <si>
    <t>Abbau</t>
  </si>
  <si>
    <t>Feiertag</t>
  </si>
  <si>
    <t xml:space="preserve"> </t>
  </si>
  <si>
    <t>Kind ncht rechzeitig abgeholt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</si>
</sst>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h]:mm;@"/>
    <numFmt numFmtId="165" formatCode="[h]:mm"/>
    <numFmt numFmtId="166" formatCode="h:mm;@"/>
    <numFmt numFmtId="167" formatCode="[hh]:mm;@"/>
    <numFmt numFmtId="168" formatCode="[hhh]:mm;@"/>
    <numFmt numFmtId="169" formatCode="dd/mm/;@"/>
    <numFmt numFmtId="170" formatCode="dd/mm/yy;@"/>
  </numFmts>
  <fonts count="17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sz val="28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8"/>
      <name val="Arial"/>
      <family val="2"/>
    </font>
    <font>
      <b/>
      <sz val="12"/>
      <color theme="0" tint="-0.34998626667073579"/>
      <name val="Arial"/>
      <family val="2"/>
    </font>
    <font>
      <b/>
      <sz val="16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000000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7">
    <xf numFmtId="0" fontId="0" fillId="0" borderId="0" xfId="0"/>
    <xf numFmtId="2" fontId="0" fillId="0" borderId="5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2" fontId="0" fillId="0" borderId="20" xfId="0" applyNumberFormat="1" applyBorder="1" applyProtection="1">
      <protection locked="0"/>
    </xf>
    <xf numFmtId="164" fontId="5" fillId="0" borderId="0" xfId="0" applyNumberFormat="1" applyFont="1"/>
    <xf numFmtId="165" fontId="0" fillId="0" borderId="0" xfId="0" applyNumberFormat="1"/>
    <xf numFmtId="164" fontId="4" fillId="0" borderId="1" xfId="0" applyNumberFormat="1" applyFont="1" applyBorder="1"/>
    <xf numFmtId="164" fontId="4" fillId="0" borderId="19" xfId="0" applyNumberFormat="1" applyFont="1" applyBorder="1"/>
    <xf numFmtId="0" fontId="0" fillId="0" borderId="6" xfId="0" applyBorder="1" applyAlignment="1">
      <alignment textRotation="90" wrapText="1"/>
    </xf>
    <xf numFmtId="0" fontId="0" fillId="0" borderId="30" xfId="0" applyBorder="1"/>
    <xf numFmtId="0" fontId="3" fillId="0" borderId="31" xfId="0" applyFont="1" applyBorder="1"/>
    <xf numFmtId="164" fontId="3" fillId="0" borderId="2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3" fillId="0" borderId="2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0" fontId="3" fillId="0" borderId="0" xfId="0" applyFont="1"/>
    <xf numFmtId="0" fontId="6" fillId="0" borderId="25" xfId="0" applyFont="1" applyBorder="1" applyAlignment="1">
      <alignment wrapText="1"/>
    </xf>
    <xf numFmtId="0" fontId="6" fillId="0" borderId="31" xfId="0" applyFont="1" applyBorder="1" applyAlignment="1">
      <alignment wrapText="1"/>
    </xf>
    <xf numFmtId="0" fontId="0" fillId="0" borderId="14" xfId="0" applyBorder="1" applyAlignment="1">
      <alignment textRotation="90" wrapText="1"/>
    </xf>
    <xf numFmtId="0" fontId="3" fillId="0" borderId="14" xfId="0" applyFont="1" applyBorder="1" applyAlignment="1">
      <alignment textRotation="90" wrapText="1"/>
    </xf>
    <xf numFmtId="0" fontId="0" fillId="0" borderId="4" xfId="0" applyBorder="1" applyAlignment="1">
      <alignment textRotation="90" wrapText="1"/>
    </xf>
    <xf numFmtId="0" fontId="0" fillId="0" borderId="24" xfId="0" applyBorder="1" applyAlignment="1">
      <alignment textRotation="90" wrapText="1"/>
    </xf>
    <xf numFmtId="168" fontId="4" fillId="0" borderId="12" xfId="0" applyNumberFormat="1" applyFont="1" applyBorder="1"/>
    <xf numFmtId="0" fontId="0" fillId="0" borderId="12" xfId="0" applyBorder="1"/>
    <xf numFmtId="2" fontId="0" fillId="0" borderId="12" xfId="0" applyNumberFormat="1" applyBorder="1"/>
    <xf numFmtId="2" fontId="0" fillId="0" borderId="1" xfId="0" applyNumberFormat="1" applyBorder="1"/>
    <xf numFmtId="0" fontId="0" fillId="0" borderId="0" xfId="0" applyProtection="1">
      <protection locked="0"/>
    </xf>
    <xf numFmtId="49" fontId="4" fillId="0" borderId="0" xfId="0" applyNumberFormat="1" applyFont="1" applyAlignment="1" applyProtection="1">
      <alignment horizontal="right"/>
      <protection locked="0"/>
    </xf>
    <xf numFmtId="0" fontId="1" fillId="0" borderId="5" xfId="0" applyFont="1" applyBorder="1" applyProtection="1">
      <protection locked="0"/>
    </xf>
    <xf numFmtId="0" fontId="3" fillId="0" borderId="25" xfId="0" applyFont="1" applyBorder="1" applyAlignment="1">
      <alignment wrapText="1"/>
    </xf>
    <xf numFmtId="0" fontId="11" fillId="0" borderId="18" xfId="0" applyFont="1" applyBorder="1"/>
    <xf numFmtId="164" fontId="4" fillId="0" borderId="36" xfId="0" applyNumberFormat="1" applyFont="1" applyBorder="1" applyAlignment="1">
      <alignment horizontal="right"/>
    </xf>
    <xf numFmtId="164" fontId="3" fillId="0" borderId="32" xfId="0" applyNumberFormat="1" applyFont="1" applyBorder="1" applyAlignment="1">
      <alignment horizontal="right"/>
    </xf>
    <xf numFmtId="164" fontId="3" fillId="0" borderId="33" xfId="0" applyNumberFormat="1" applyFont="1" applyBorder="1" applyAlignment="1">
      <alignment horizontal="right"/>
    </xf>
    <xf numFmtId="164" fontId="3" fillId="0" borderId="35" xfId="0" applyNumberFormat="1" applyFont="1" applyBorder="1" applyAlignment="1">
      <alignment horizontal="right"/>
    </xf>
    <xf numFmtId="164" fontId="4" fillId="0" borderId="32" xfId="0" applyNumberFormat="1" applyFont="1" applyBorder="1" applyAlignment="1">
      <alignment horizontal="right"/>
    </xf>
    <xf numFmtId="164" fontId="0" fillId="0" borderId="0" xfId="0" applyNumberFormat="1"/>
    <xf numFmtId="0" fontId="7" fillId="0" borderId="32" xfId="0" applyFont="1" applyBorder="1" applyAlignment="1" applyProtection="1">
      <alignment horizontal="center" vertical="center"/>
      <protection locked="0"/>
    </xf>
    <xf numFmtId="0" fontId="1" fillId="0" borderId="36" xfId="0" applyFont="1" applyBorder="1" applyProtection="1">
      <protection locked="0"/>
    </xf>
    <xf numFmtId="0" fontId="11" fillId="0" borderId="36" xfId="0" applyFont="1" applyBorder="1"/>
    <xf numFmtId="168" fontId="4" fillId="0" borderId="36" xfId="0" applyNumberFormat="1" applyFont="1" applyBorder="1"/>
    <xf numFmtId="0" fontId="0" fillId="0" borderId="36" xfId="0" applyBorder="1"/>
    <xf numFmtId="164" fontId="4" fillId="0" borderId="36" xfId="0" applyNumberFormat="1" applyFont="1" applyBorder="1"/>
    <xf numFmtId="2" fontId="0" fillId="0" borderId="36" xfId="0" applyNumberFormat="1" applyBorder="1"/>
    <xf numFmtId="2" fontId="0" fillId="0" borderId="38" xfId="0" applyNumberFormat="1" applyBorder="1"/>
    <xf numFmtId="0" fontId="3" fillId="0" borderId="31" xfId="0" applyFont="1" applyBorder="1" applyAlignment="1">
      <alignment wrapText="1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wrapText="1"/>
      <protection locked="0"/>
    </xf>
    <xf numFmtId="0" fontId="0" fillId="0" borderId="11" xfId="0" applyBorder="1"/>
    <xf numFmtId="0" fontId="0" fillId="0" borderId="24" xfId="0" applyBorder="1"/>
    <xf numFmtId="0" fontId="0" fillId="0" borderId="31" xfId="0" applyBorder="1"/>
    <xf numFmtId="167" fontId="3" fillId="0" borderId="13" xfId="0" applyNumberFormat="1" applyFont="1" applyBorder="1"/>
    <xf numFmtId="0" fontId="6" fillId="0" borderId="24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34" xfId="0" applyBorder="1"/>
    <xf numFmtId="164" fontId="3" fillId="2" borderId="5" xfId="0" applyNumberFormat="1" applyFont="1" applyFill="1" applyBorder="1" applyAlignment="1" applyProtection="1">
      <alignment horizontal="right"/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165" fontId="3" fillId="2" borderId="1" xfId="0" applyNumberFormat="1" applyFont="1" applyFill="1" applyBorder="1" applyAlignment="1" applyProtection="1">
      <alignment horizontal="right"/>
      <protection locked="0"/>
    </xf>
    <xf numFmtId="164" fontId="3" fillId="0" borderId="1" xfId="0" applyNumberFormat="1" applyFont="1" applyBorder="1" applyAlignment="1">
      <alignment horizontal="right"/>
    </xf>
    <xf numFmtId="164" fontId="3" fillId="2" borderId="1" xfId="0" applyNumberFormat="1" applyFont="1" applyFill="1" applyBorder="1" applyAlignment="1" applyProtection="1">
      <alignment horizontal="right"/>
      <protection locked="0"/>
    </xf>
    <xf numFmtId="164" fontId="3" fillId="2" borderId="8" xfId="0" applyNumberFormat="1" applyFont="1" applyFill="1" applyBorder="1" applyAlignment="1" applyProtection="1">
      <alignment horizontal="right"/>
      <protection locked="0"/>
    </xf>
    <xf numFmtId="164" fontId="3" fillId="0" borderId="7" xfId="0" applyNumberFormat="1" applyFont="1" applyBorder="1" applyAlignment="1">
      <alignment horizontal="right"/>
    </xf>
    <xf numFmtId="164" fontId="3" fillId="2" borderId="7" xfId="0" applyNumberFormat="1" applyFont="1" applyFill="1" applyBorder="1" applyAlignment="1" applyProtection="1">
      <alignment horizontal="right"/>
      <protection locked="0"/>
    </xf>
    <xf numFmtId="164" fontId="3" fillId="2" borderId="20" xfId="0" applyNumberFormat="1" applyFont="1" applyFill="1" applyBorder="1" applyAlignment="1" applyProtection="1">
      <alignment horizontal="right"/>
      <protection locked="0"/>
    </xf>
    <xf numFmtId="166" fontId="3" fillId="2" borderId="21" xfId="0" applyNumberFormat="1" applyFont="1" applyFill="1" applyBorder="1" applyAlignment="1" applyProtection="1">
      <alignment horizontal="right"/>
      <protection locked="0"/>
    </xf>
    <xf numFmtId="165" fontId="3" fillId="2" borderId="21" xfId="0" applyNumberFormat="1" applyFont="1" applyFill="1" applyBorder="1" applyAlignment="1" applyProtection="1">
      <alignment horizontal="right"/>
      <protection locked="0"/>
    </xf>
    <xf numFmtId="164" fontId="3" fillId="0" borderId="21" xfId="0" applyNumberFormat="1" applyFont="1" applyBorder="1" applyAlignment="1">
      <alignment horizontal="right"/>
    </xf>
    <xf numFmtId="164" fontId="3" fillId="2" borderId="21" xfId="0" applyNumberFormat="1" applyFont="1" applyFill="1" applyBorder="1" applyAlignment="1" applyProtection="1">
      <alignment horizontal="right"/>
      <protection locked="0"/>
    </xf>
    <xf numFmtId="166" fontId="4" fillId="0" borderId="28" xfId="0" applyNumberFormat="1" applyFont="1" applyBorder="1" applyAlignment="1">
      <alignment horizontal="right"/>
    </xf>
    <xf numFmtId="164" fontId="4" fillId="0" borderId="16" xfId="0" applyNumberFormat="1" applyFont="1" applyBorder="1" applyAlignment="1">
      <alignment horizontal="right"/>
    </xf>
    <xf numFmtId="164" fontId="4" fillId="0" borderId="17" xfId="0" applyNumberFormat="1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67" fontId="4" fillId="0" borderId="16" xfId="0" applyNumberFormat="1" applyFont="1" applyBorder="1" applyAlignment="1">
      <alignment horizontal="right"/>
    </xf>
    <xf numFmtId="166" fontId="4" fillId="0" borderId="27" xfId="0" applyNumberFormat="1" applyFont="1" applyBorder="1" applyAlignment="1">
      <alignment horizontal="right"/>
    </xf>
    <xf numFmtId="0" fontId="12" fillId="2" borderId="42" xfId="0" applyFont="1" applyFill="1" applyBorder="1" applyAlignment="1" applyProtection="1">
      <alignment wrapText="1"/>
      <protection locked="0"/>
    </xf>
    <xf numFmtId="49" fontId="3" fillId="0" borderId="31" xfId="0" applyNumberFormat="1" applyFont="1" applyBorder="1" applyProtection="1">
      <protection locked="0"/>
    </xf>
    <xf numFmtId="49" fontId="4" fillId="0" borderId="31" xfId="0" applyNumberFormat="1" applyFont="1" applyBorder="1" applyProtection="1">
      <protection locked="0"/>
    </xf>
    <xf numFmtId="20" fontId="0" fillId="0" borderId="0" xfId="0" applyNumberFormat="1"/>
    <xf numFmtId="0" fontId="0" fillId="0" borderId="2" xfId="0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  <xf numFmtId="0" fontId="0" fillId="0" borderId="22" xfId="0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0" xfId="0" applyFont="1" applyAlignment="1">
      <alignment wrapText="1"/>
    </xf>
    <xf numFmtId="0" fontId="0" fillId="0" borderId="25" xfId="0" applyBorder="1"/>
    <xf numFmtId="164" fontId="3" fillId="0" borderId="26" xfId="0" applyNumberFormat="1" applyFont="1" applyBorder="1"/>
    <xf numFmtId="164" fontId="3" fillId="0" borderId="15" xfId="0" applyNumberFormat="1" applyFont="1" applyBorder="1"/>
    <xf numFmtId="0" fontId="3" fillId="0" borderId="4" xfId="0" applyFont="1" applyBorder="1" applyAlignment="1">
      <alignment textRotation="90" wrapText="1"/>
    </xf>
    <xf numFmtId="0" fontId="3" fillId="0" borderId="6" xfId="0" applyFont="1" applyBorder="1" applyAlignment="1">
      <alignment textRotation="90" wrapText="1"/>
    </xf>
    <xf numFmtId="0" fontId="3" fillId="0" borderId="24" xfId="0" applyFont="1" applyBorder="1" applyAlignment="1">
      <alignment textRotation="90" wrapText="1"/>
    </xf>
    <xf numFmtId="0" fontId="3" fillId="0" borderId="49" xfId="0" applyFont="1" applyBorder="1" applyAlignment="1">
      <alignment textRotation="90" wrapText="1"/>
    </xf>
    <xf numFmtId="165" fontId="4" fillId="0" borderId="17" xfId="0" applyNumberFormat="1" applyFont="1" applyBorder="1" applyAlignment="1">
      <alignment horizontal="right"/>
    </xf>
    <xf numFmtId="164" fontId="4" fillId="0" borderId="19" xfId="0" applyNumberFormat="1" applyFont="1" applyBorder="1" applyAlignment="1">
      <alignment horizontal="right"/>
    </xf>
    <xf numFmtId="164" fontId="4" fillId="0" borderId="41" xfId="0" applyNumberFormat="1" applyFont="1" applyBorder="1" applyAlignment="1">
      <alignment horizontal="right"/>
    </xf>
    <xf numFmtId="164" fontId="4" fillId="0" borderId="27" xfId="0" applyNumberFormat="1" applyFont="1" applyBorder="1" applyAlignment="1">
      <alignment horizontal="right"/>
    </xf>
    <xf numFmtId="0" fontId="3" fillId="0" borderId="26" xfId="0" applyFont="1" applyBorder="1"/>
    <xf numFmtId="0" fontId="3" fillId="0" borderId="26" xfId="0" applyFont="1" applyBorder="1" applyAlignment="1">
      <alignment wrapText="1"/>
    </xf>
    <xf numFmtId="164" fontId="3" fillId="2" borderId="48" xfId="0" applyNumberFormat="1" applyFont="1" applyFill="1" applyBorder="1" applyAlignment="1" applyProtection="1">
      <alignment horizontal="right"/>
      <protection locked="0"/>
    </xf>
    <xf numFmtId="166" fontId="3" fillId="2" borderId="51" xfId="0" applyNumberFormat="1" applyFont="1" applyFill="1" applyBorder="1" applyAlignment="1" applyProtection="1">
      <alignment horizontal="right"/>
      <protection locked="0"/>
    </xf>
    <xf numFmtId="165" fontId="3" fillId="2" borderId="51" xfId="0" applyNumberFormat="1" applyFont="1" applyFill="1" applyBorder="1" applyAlignment="1" applyProtection="1">
      <alignment horizontal="right"/>
      <protection locked="0"/>
    </xf>
    <xf numFmtId="164" fontId="3" fillId="0" borderId="51" xfId="0" applyNumberFormat="1" applyFont="1" applyBorder="1" applyAlignment="1">
      <alignment horizontal="right"/>
    </xf>
    <xf numFmtId="164" fontId="3" fillId="0" borderId="53" xfId="0" applyNumberFormat="1" applyFont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64" fontId="3" fillId="2" borderId="51" xfId="0" applyNumberFormat="1" applyFont="1" applyFill="1" applyBorder="1" applyAlignment="1" applyProtection="1">
      <alignment horizontal="right"/>
      <protection locked="0"/>
    </xf>
    <xf numFmtId="0" fontId="4" fillId="0" borderId="45" xfId="0" applyFont="1" applyBorder="1"/>
    <xf numFmtId="167" fontId="4" fillId="0" borderId="27" xfId="0" applyNumberFormat="1" applyFont="1" applyBorder="1" applyAlignment="1">
      <alignment horizontal="right"/>
    </xf>
    <xf numFmtId="2" fontId="0" fillId="0" borderId="48" xfId="0" applyNumberFormat="1" applyBorder="1" applyProtection="1">
      <protection locked="0"/>
    </xf>
    <xf numFmtId="0" fontId="0" fillId="0" borderId="53" xfId="0" applyBorder="1" applyAlignment="1" applyProtection="1">
      <alignment wrapText="1"/>
      <protection locked="0"/>
    </xf>
    <xf numFmtId="166" fontId="3" fillId="2" borderId="7" xfId="0" applyNumberFormat="1" applyFont="1" applyFill="1" applyBorder="1" applyAlignment="1" applyProtection="1">
      <alignment horizontal="right"/>
      <protection locked="0"/>
    </xf>
    <xf numFmtId="165" fontId="3" fillId="2" borderId="7" xfId="0" applyNumberFormat="1" applyFont="1" applyFill="1" applyBorder="1" applyAlignment="1" applyProtection="1">
      <alignment horizontal="right"/>
      <protection locked="0"/>
    </xf>
    <xf numFmtId="164" fontId="4" fillId="2" borderId="3" xfId="0" applyNumberFormat="1" applyFont="1" applyFill="1" applyBorder="1" applyAlignment="1">
      <alignment wrapText="1"/>
    </xf>
    <xf numFmtId="0" fontId="14" fillId="0" borderId="0" xfId="0" applyFont="1"/>
    <xf numFmtId="0" fontId="10" fillId="3" borderId="10" xfId="0" applyFont="1" applyFill="1" applyBorder="1"/>
    <xf numFmtId="20" fontId="10" fillId="3" borderId="33" xfId="0" applyNumberFormat="1" applyFont="1" applyFill="1" applyBorder="1"/>
    <xf numFmtId="166" fontId="10" fillId="3" borderId="33" xfId="0" applyNumberFormat="1" applyFont="1" applyFill="1" applyBorder="1"/>
    <xf numFmtId="0" fontId="10" fillId="3" borderId="25" xfId="0" applyFont="1" applyFill="1" applyBorder="1"/>
    <xf numFmtId="166" fontId="4" fillId="2" borderId="57" xfId="0" applyNumberFormat="1" applyFont="1" applyFill="1" applyBorder="1"/>
    <xf numFmtId="17" fontId="3" fillId="0" borderId="0" xfId="0" applyNumberFormat="1" applyFont="1"/>
    <xf numFmtId="0" fontId="10" fillId="3" borderId="11" xfId="0" applyFont="1" applyFill="1" applyBorder="1"/>
    <xf numFmtId="0" fontId="10" fillId="3" borderId="55" xfId="0" applyFont="1" applyFill="1" applyBorder="1"/>
    <xf numFmtId="0" fontId="10" fillId="3" borderId="54" xfId="0" applyFont="1" applyFill="1" applyBorder="1"/>
    <xf numFmtId="167" fontId="10" fillId="4" borderId="59" xfId="0" applyNumberFormat="1" applyFont="1" applyFill="1" applyBorder="1" applyAlignment="1">
      <alignment horizontal="center"/>
    </xf>
    <xf numFmtId="17" fontId="10" fillId="3" borderId="29" xfId="0" applyNumberFormat="1" applyFont="1" applyFill="1" applyBorder="1"/>
    <xf numFmtId="0" fontId="10" fillId="5" borderId="59" xfId="0" applyFont="1" applyFill="1" applyBorder="1" applyAlignment="1" applyProtection="1">
      <alignment horizontal="center"/>
      <protection locked="0"/>
    </xf>
    <xf numFmtId="0" fontId="10" fillId="3" borderId="29" xfId="0" applyFont="1" applyFill="1" applyBorder="1"/>
    <xf numFmtId="0" fontId="10" fillId="5" borderId="59" xfId="0" applyFont="1" applyFill="1" applyBorder="1" applyAlignment="1">
      <alignment horizontal="center"/>
    </xf>
    <xf numFmtId="0" fontId="15" fillId="0" borderId="0" xfId="0" applyFont="1"/>
    <xf numFmtId="2" fontId="15" fillId="0" borderId="0" xfId="0" applyNumberFormat="1" applyFont="1"/>
    <xf numFmtId="167" fontId="16" fillId="0" borderId="0" xfId="0" applyNumberFormat="1" applyFont="1" applyAlignment="1">
      <alignment horizontal="right"/>
    </xf>
    <xf numFmtId="167" fontId="15" fillId="0" borderId="0" xfId="0" applyNumberFormat="1" applyFont="1"/>
    <xf numFmtId="167" fontId="10" fillId="5" borderId="58" xfId="0" applyNumberFormat="1" applyFont="1" applyFill="1" applyBorder="1" applyAlignment="1" applyProtection="1">
      <alignment horizontal="center"/>
      <protection locked="0"/>
    </xf>
    <xf numFmtId="167" fontId="3" fillId="2" borderId="56" xfId="0" applyNumberFormat="1" applyFont="1" applyFill="1" applyBorder="1"/>
    <xf numFmtId="170" fontId="4" fillId="5" borderId="57" xfId="0" applyNumberFormat="1" applyFont="1" applyFill="1" applyBorder="1" applyAlignment="1" applyProtection="1">
      <alignment horizontal="center"/>
      <protection locked="0"/>
    </xf>
    <xf numFmtId="0" fontId="10" fillId="3" borderId="55" xfId="0" applyFont="1" applyFill="1" applyBorder="1" applyAlignment="1">
      <alignment horizontal="left"/>
    </xf>
    <xf numFmtId="20" fontId="3" fillId="0" borderId="0" xfId="0" applyNumberFormat="1" applyFont="1"/>
    <xf numFmtId="2" fontId="3" fillId="0" borderId="0" xfId="0" applyNumberFormat="1" applyFont="1"/>
    <xf numFmtId="167" fontId="10" fillId="4" borderId="59" xfId="0" applyNumberFormat="1" applyFont="1" applyFill="1" applyBorder="1" applyAlignment="1" applyProtection="1">
      <alignment horizontal="center"/>
      <protection locked="0"/>
    </xf>
    <xf numFmtId="164" fontId="3" fillId="2" borderId="16" xfId="0" applyNumberFormat="1" applyFont="1" applyFill="1" applyBorder="1" applyAlignment="1">
      <alignment horizontal="right"/>
    </xf>
    <xf numFmtId="0" fontId="10" fillId="3" borderId="34" xfId="0" applyFont="1" applyFill="1" applyBorder="1" applyAlignment="1">
      <alignment horizontal="left"/>
    </xf>
    <xf numFmtId="167" fontId="10" fillId="5" borderId="59" xfId="0" applyNumberFormat="1" applyFont="1" applyFill="1" applyBorder="1" applyAlignment="1" applyProtection="1">
      <alignment horizontal="center"/>
      <protection locked="0"/>
    </xf>
    <xf numFmtId="0" fontId="13" fillId="2" borderId="46" xfId="0" applyFont="1" applyFill="1" applyBorder="1" applyAlignment="1">
      <alignment vertical="center" textRotation="90"/>
    </xf>
    <xf numFmtId="0" fontId="13" fillId="2" borderId="47" xfId="0" applyFont="1" applyFill="1" applyBorder="1" applyAlignment="1">
      <alignment horizontal="center" vertical="center" textRotation="90"/>
    </xf>
    <xf numFmtId="0" fontId="1" fillId="2" borderId="44" xfId="0" applyFont="1" applyFill="1" applyBorder="1"/>
    <xf numFmtId="0" fontId="1" fillId="2" borderId="50" xfId="0" applyFont="1" applyFill="1" applyBorder="1"/>
    <xf numFmtId="0" fontId="1" fillId="0" borderId="5" xfId="0" applyFont="1" applyBorder="1"/>
    <xf numFmtId="0" fontId="3" fillId="0" borderId="43" xfId="0" applyFont="1" applyBorder="1" applyAlignment="1">
      <alignment horizontal="center" vertical="center" textRotation="90" wrapText="1"/>
    </xf>
    <xf numFmtId="0" fontId="15" fillId="0" borderId="0" xfId="0" applyFont="1" applyProtection="1">
      <protection locked="0"/>
    </xf>
    <xf numFmtId="0" fontId="0" fillId="0" borderId="26" xfId="0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60" xfId="0" applyNumberFormat="1" applyFont="1" applyFill="1" applyBorder="1" applyAlignment="1" applyProtection="1">
      <alignment horizontal="center" vertical="center"/>
      <protection locked="0"/>
    </xf>
    <xf numFmtId="164" fontId="3" fillId="2" borderId="7" xfId="0" applyNumberFormat="1" applyFont="1" applyFill="1" applyBorder="1" applyAlignment="1" applyProtection="1">
      <alignment horizontal="center" vertical="center"/>
      <protection locked="0"/>
    </xf>
    <xf numFmtId="164" fontId="3" fillId="2" borderId="52" xfId="0" applyNumberFormat="1" applyFont="1" applyFill="1" applyBorder="1" applyAlignment="1" applyProtection="1">
      <alignment horizontal="center" vertical="center"/>
      <protection locked="0"/>
    </xf>
    <xf numFmtId="164" fontId="4" fillId="0" borderId="40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36" xfId="0" applyNumberFormat="1" applyFont="1" applyBorder="1" applyAlignment="1">
      <alignment horizontal="center" vertical="center"/>
    </xf>
    <xf numFmtId="9" fontId="10" fillId="5" borderId="58" xfId="0" applyNumberFormat="1" applyFont="1" applyFill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wrapText="1"/>
      <protection locked="0"/>
    </xf>
    <xf numFmtId="164" fontId="3" fillId="6" borderId="5" xfId="0" applyNumberFormat="1" applyFont="1" applyFill="1" applyBorder="1" applyAlignment="1" applyProtection="1">
      <alignment horizontal="right"/>
      <protection locked="0"/>
    </xf>
    <xf numFmtId="166" fontId="3" fillId="6" borderId="12" xfId="0" applyNumberFormat="1" applyFont="1" applyFill="1" applyBorder="1" applyAlignment="1" applyProtection="1">
      <alignment horizontal="right"/>
      <protection locked="0"/>
    </xf>
    <xf numFmtId="165" fontId="3" fillId="6" borderId="12" xfId="0" applyNumberFormat="1" applyFont="1" applyFill="1" applyBorder="1" applyAlignment="1" applyProtection="1">
      <alignment horizontal="right"/>
      <protection locked="0"/>
    </xf>
    <xf numFmtId="0" fontId="10" fillId="5" borderId="11" xfId="0" applyFont="1" applyFill="1" applyBorder="1" applyAlignment="1" applyProtection="1">
      <alignment horizontal="center"/>
      <protection locked="0"/>
    </xf>
    <xf numFmtId="0" fontId="10" fillId="5" borderId="25" xfId="0" applyFont="1" applyFill="1" applyBorder="1" applyAlignment="1" applyProtection="1">
      <alignment horizontal="center"/>
      <protection locked="0"/>
    </xf>
    <xf numFmtId="0" fontId="10" fillId="5" borderId="55" xfId="0" applyFont="1" applyFill="1" applyBorder="1" applyAlignment="1">
      <alignment horizontal="center"/>
    </xf>
    <xf numFmtId="0" fontId="10" fillId="5" borderId="26" xfId="0" applyFont="1" applyFill="1" applyBorder="1" applyAlignment="1">
      <alignment horizontal="center"/>
    </xf>
    <xf numFmtId="0" fontId="10" fillId="3" borderId="55" xfId="0" applyFont="1" applyFill="1" applyBorder="1" applyAlignment="1">
      <alignment horizontal="left"/>
    </xf>
    <xf numFmtId="0" fontId="10" fillId="3" borderId="24" xfId="0" applyFont="1" applyFill="1" applyBorder="1" applyAlignment="1">
      <alignment horizontal="left"/>
    </xf>
    <xf numFmtId="17" fontId="3" fillId="3" borderId="42" xfId="0" applyNumberFormat="1" applyFont="1" applyFill="1" applyBorder="1" applyAlignment="1">
      <alignment horizontal="right"/>
    </xf>
    <xf numFmtId="17" fontId="3" fillId="3" borderId="35" xfId="0" applyNumberFormat="1" applyFont="1" applyFill="1" applyBorder="1" applyAlignment="1">
      <alignment horizontal="right"/>
    </xf>
    <xf numFmtId="0" fontId="0" fillId="0" borderId="37" xfId="0" applyBorder="1" applyAlignment="1" applyProtection="1">
      <alignment wrapText="1"/>
      <protection locked="0"/>
    </xf>
    <xf numFmtId="0" fontId="0" fillId="0" borderId="22" xfId="0" applyBorder="1" applyAlignment="1" applyProtection="1">
      <alignment wrapText="1"/>
      <protection locked="0"/>
    </xf>
    <xf numFmtId="0" fontId="0" fillId="0" borderId="10" xfId="0" applyBorder="1" applyAlignment="1" applyProtection="1">
      <alignment wrapText="1"/>
      <protection locked="0"/>
    </xf>
    <xf numFmtId="0" fontId="0" fillId="0" borderId="13" xfId="0" applyBorder="1" applyAlignment="1" applyProtection="1">
      <alignment wrapText="1"/>
      <protection locked="0"/>
    </xf>
    <xf numFmtId="0" fontId="0" fillId="0" borderId="33" xfId="0" applyBorder="1" applyAlignment="1" applyProtection="1">
      <alignment wrapText="1"/>
      <protection locked="0"/>
    </xf>
    <xf numFmtId="0" fontId="0" fillId="0" borderId="26" xfId="0" applyBorder="1" applyAlignment="1" applyProtection="1">
      <alignment wrapText="1"/>
      <protection locked="0"/>
    </xf>
    <xf numFmtId="0" fontId="0" fillId="0" borderId="32" xfId="0" applyBorder="1" applyAlignment="1" applyProtection="1">
      <alignment wrapText="1"/>
      <protection locked="0"/>
    </xf>
    <xf numFmtId="0" fontId="0" fillId="0" borderId="25" xfId="0" applyBorder="1" applyAlignment="1" applyProtection="1">
      <alignment wrapText="1"/>
      <protection locked="0"/>
    </xf>
    <xf numFmtId="0" fontId="3" fillId="0" borderId="33" xfId="0" applyFont="1" applyBorder="1" applyAlignment="1" applyProtection="1">
      <alignment wrapText="1"/>
      <protection locked="0"/>
    </xf>
    <xf numFmtId="0" fontId="3" fillId="0" borderId="34" xfId="0" applyFont="1" applyBorder="1"/>
    <xf numFmtId="0" fontId="0" fillId="0" borderId="34" xfId="0" applyBorder="1"/>
    <xf numFmtId="0" fontId="0" fillId="0" borderId="10" xfId="0" applyBorder="1"/>
    <xf numFmtId="0" fontId="3" fillId="0" borderId="0" xfId="0" applyFont="1"/>
    <xf numFmtId="0" fontId="0" fillId="0" borderId="0" xfId="0"/>
    <xf numFmtId="14" fontId="0" fillId="0" borderId="0" xfId="0" applyNumberFormat="1"/>
    <xf numFmtId="0" fontId="11" fillId="0" borderId="3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164" fontId="1" fillId="0" borderId="3" xfId="0" applyNumberFormat="1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11" fillId="0" borderId="40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3" fillId="0" borderId="11" xfId="0" applyFont="1" applyBorder="1"/>
    <xf numFmtId="0" fontId="0" fillId="0" borderId="32" xfId="0" applyBorder="1"/>
    <xf numFmtId="0" fontId="3" fillId="0" borderId="3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35" xfId="0" applyBorder="1" applyAlignment="1" applyProtection="1">
      <alignment wrapText="1"/>
      <protection locked="0"/>
    </xf>
    <xf numFmtId="0" fontId="0" fillId="0" borderId="15" xfId="0" applyBorder="1" applyAlignment="1" applyProtection="1">
      <alignment wrapText="1"/>
      <protection locked="0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1" xfId="0" applyFont="1" applyBorder="1" applyAlignment="1">
      <alignment wrapText="1"/>
    </xf>
    <xf numFmtId="0" fontId="0" fillId="0" borderId="36" xfId="0" applyBorder="1"/>
    <xf numFmtId="0" fontId="0" fillId="0" borderId="39" xfId="0" applyBorder="1"/>
    <xf numFmtId="0" fontId="4" fillId="0" borderId="29" xfId="0" applyFont="1" applyBorder="1" applyAlignment="1">
      <alignment wrapText="1"/>
    </xf>
    <xf numFmtId="0" fontId="4" fillId="0" borderId="33" xfId="0" applyFont="1" applyBorder="1"/>
    <xf numFmtId="0" fontId="0" fillId="0" borderId="33" xfId="0" applyBorder="1" applyAlignment="1">
      <alignment wrapText="1"/>
    </xf>
    <xf numFmtId="0" fontId="4" fillId="0" borderId="10" xfId="0" applyFont="1" applyBorder="1"/>
    <xf numFmtId="0" fontId="12" fillId="2" borderId="23" xfId="0" applyFont="1" applyFill="1" applyBorder="1" applyAlignment="1" applyProtection="1">
      <alignment wrapText="1"/>
      <protection locked="0"/>
    </xf>
    <xf numFmtId="0" fontId="12" fillId="0" borderId="35" xfId="0" applyFont="1" applyBorder="1" applyAlignment="1">
      <alignment wrapText="1"/>
    </xf>
    <xf numFmtId="0" fontId="0" fillId="2" borderId="35" xfId="0" applyFill="1" applyBorder="1" applyAlignment="1">
      <alignment wrapText="1"/>
    </xf>
    <xf numFmtId="0" fontId="0" fillId="2" borderId="37" xfId="0" applyFill="1" applyBorder="1" applyAlignment="1">
      <alignment wrapText="1"/>
    </xf>
    <xf numFmtId="0" fontId="0" fillId="2" borderId="15" xfId="0" applyFill="1" applyBorder="1" applyAlignment="1">
      <alignment wrapText="1"/>
    </xf>
    <xf numFmtId="169" fontId="13" fillId="2" borderId="47" xfId="0" applyNumberFormat="1" applyFont="1" applyFill="1" applyBorder="1" applyAlignment="1">
      <alignment horizontal="center" vertical="top" textRotation="90"/>
    </xf>
    <xf numFmtId="169" fontId="13" fillId="2" borderId="47" xfId="0" applyNumberFormat="1" applyFont="1" applyFill="1" applyBorder="1" applyAlignment="1">
      <alignment horizontal="center" vertical="center" textRotation="90"/>
    </xf>
    <xf numFmtId="0" fontId="3" fillId="0" borderId="32" xfId="0" applyFont="1" applyBorder="1" applyAlignment="1" applyProtection="1">
      <alignment wrapText="1"/>
      <protection locked="0"/>
    </xf>
    <xf numFmtId="0" fontId="0" fillId="0" borderId="34" xfId="0" applyBorder="1" applyAlignment="1" applyProtection="1">
      <alignment wrapText="1"/>
      <protection locked="0"/>
    </xf>
    <xf numFmtId="0" fontId="0" fillId="0" borderId="24" xfId="0" applyBorder="1" applyAlignment="1" applyProtection="1">
      <alignment wrapText="1"/>
      <protection locked="0"/>
    </xf>
  </cellXfs>
  <cellStyles count="1">
    <cellStyle name="Standard" xfId="0" builtinId="0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I54"/>
  <sheetViews>
    <sheetView zoomScale="182" workbookViewId="0">
      <selection activeCell="C12" sqref="C12"/>
    </sheetView>
  </sheetViews>
  <sheetFormatPr baseColWidth="10" defaultColWidth="10.6640625" defaultRowHeight="13.2" x14ac:dyDescent="0.25"/>
  <cols>
    <col min="1" max="1" width="21.33203125" style="15" customWidth="1"/>
    <col min="2" max="2" width="15.33203125" style="15" customWidth="1"/>
    <col min="3" max="3" width="13" style="15" customWidth="1"/>
    <col min="4" max="4" width="6.44140625" style="15" customWidth="1"/>
    <col min="5" max="5" width="9" style="15" customWidth="1"/>
    <col min="6" max="6" width="9.6640625" style="15" customWidth="1"/>
    <col min="7" max="7" width="6.88671875" style="15" customWidth="1"/>
    <col min="8" max="8" width="8.109375" style="15" customWidth="1"/>
    <col min="9" max="9" width="11.44140625" style="15" customWidth="1"/>
    <col min="10" max="16384" width="10.6640625" style="15"/>
  </cols>
  <sheetData>
    <row r="1" spans="1:9" ht="21" x14ac:dyDescent="0.4">
      <c r="A1" s="111" t="s">
        <v>38</v>
      </c>
    </row>
    <row r="2" spans="1:9" ht="13.8" thickBot="1" x14ac:dyDescent="0.3"/>
    <row r="3" spans="1:9" ht="13.8" x14ac:dyDescent="0.25">
      <c r="A3" s="118" t="s">
        <v>36</v>
      </c>
      <c r="B3" s="161" t="s">
        <v>53</v>
      </c>
      <c r="C3" s="162"/>
    </row>
    <row r="4" spans="1:9" ht="14.4" thickBot="1" x14ac:dyDescent="0.3">
      <c r="A4" s="119" t="s">
        <v>37</v>
      </c>
      <c r="B4" s="163" t="s">
        <v>41</v>
      </c>
      <c r="C4" s="164"/>
    </row>
    <row r="5" spans="1:9" ht="13.8" x14ac:dyDescent="0.25">
      <c r="A5" s="120" t="s">
        <v>34</v>
      </c>
      <c r="B5" s="115"/>
      <c r="C5" s="156">
        <v>0.93</v>
      </c>
      <c r="E5" s="127">
        <v>100</v>
      </c>
      <c r="H5" s="134"/>
    </row>
    <row r="6" spans="1:9" ht="13.8" x14ac:dyDescent="0.25">
      <c r="A6" s="120" t="s">
        <v>35</v>
      </c>
      <c r="B6" s="112"/>
      <c r="C6" s="121">
        <f>E7</f>
        <v>1.5112500000000001E-2</v>
      </c>
      <c r="E6" s="128">
        <v>1.625</v>
      </c>
      <c r="H6" s="134"/>
    </row>
    <row r="7" spans="1:9" ht="13.8" x14ac:dyDescent="0.25">
      <c r="A7" s="120" t="s">
        <v>47</v>
      </c>
      <c r="B7" s="112"/>
      <c r="C7" s="136">
        <v>1.5111111111111111</v>
      </c>
      <c r="E7" s="129">
        <f>(E6/E5)*C5</f>
        <v>1.5112500000000001E-2</v>
      </c>
      <c r="H7" s="134"/>
    </row>
    <row r="8" spans="1:9" ht="13.8" x14ac:dyDescent="0.25">
      <c r="A8" s="122" t="s">
        <v>39</v>
      </c>
      <c r="B8" s="113"/>
      <c r="C8" s="123" t="s">
        <v>43</v>
      </c>
    </row>
    <row r="9" spans="1:9" ht="13.8" x14ac:dyDescent="0.25">
      <c r="A9" s="124" t="s">
        <v>40</v>
      </c>
      <c r="B9" s="114"/>
      <c r="C9" s="125">
        <v>5</v>
      </c>
      <c r="H9" s="135"/>
      <c r="I9" s="134"/>
    </row>
    <row r="10" spans="1:9" ht="13.8" x14ac:dyDescent="0.25">
      <c r="A10" s="165" t="s">
        <v>44</v>
      </c>
      <c r="B10" s="166"/>
      <c r="C10" s="130">
        <v>1.0874999999999999</v>
      </c>
    </row>
    <row r="11" spans="1:9" ht="13.8" x14ac:dyDescent="0.25">
      <c r="A11" s="133" t="s">
        <v>48</v>
      </c>
      <c r="B11" s="138"/>
      <c r="C11" s="139">
        <v>0</v>
      </c>
    </row>
    <row r="12" spans="1:9" ht="13.8" thickBot="1" x14ac:dyDescent="0.3">
      <c r="A12" s="167" t="s">
        <v>46</v>
      </c>
      <c r="B12" s="168"/>
      <c r="C12" s="132">
        <v>45663</v>
      </c>
    </row>
    <row r="13" spans="1:9" x14ac:dyDescent="0.25">
      <c r="A13" s="117"/>
      <c r="H13" s="134"/>
    </row>
    <row r="14" spans="1:9" x14ac:dyDescent="0.25">
      <c r="H14" s="134"/>
    </row>
    <row r="53" spans="3:3" x14ac:dyDescent="0.25">
      <c r="C53" s="126" t="s">
        <v>43</v>
      </c>
    </row>
    <row r="54" spans="3:3" x14ac:dyDescent="0.25">
      <c r="C54" s="126" t="s">
        <v>42</v>
      </c>
    </row>
  </sheetData>
  <sheetProtection algorithmName="SHA-512" hashValue="S5+bj4oZyT8sLjPv1Sq4fZ4nkpPkmAM/rL3I1/J+1RtPG9MByMsy+xWg2hnNc3wv84ZqxSHkh1n3/sSOV6yoCA==" saltValue="SQ85BWCndnr1dnsWayqBOA==" spinCount="100000" sheet="1" selectLockedCells="1"/>
  <mergeCells count="4">
    <mergeCell ref="B3:C3"/>
    <mergeCell ref="B4:C4"/>
    <mergeCell ref="A10:B10"/>
    <mergeCell ref="A12:B12"/>
  </mergeCells>
  <dataValidations count="1">
    <dataValidation type="list" allowBlank="1" showInputMessage="1" showErrorMessage="1" sqref="C8" xr:uid="{00000000-0002-0000-0000-000000000000}">
      <formula1>$C$53:$C$54</formula1>
    </dataValidation>
  </dataValidation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>
    <pageSetUpPr fitToPage="1"/>
  </sheetPr>
  <dimension ref="A1:W41"/>
  <sheetViews>
    <sheetView topLeftCell="A20" zoomScale="150" zoomScaleNormal="100" zoomScaleSheetLayoutView="75" workbookViewId="0">
      <selection activeCell="H10" sqref="H10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.44140625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thickBot="1" x14ac:dyDescent="0.3">
      <c r="A4" s="47"/>
      <c r="B4" s="45"/>
      <c r="C4" s="203" t="s">
        <v>26</v>
      </c>
      <c r="D4" s="205"/>
      <c r="E4" s="205"/>
      <c r="F4" s="205"/>
      <c r="G4" s="205"/>
      <c r="H4" s="147"/>
      <c r="I4" s="137">
        <f>Stammangaben!C10</f>
        <v>1.0874999999999999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37">
        <f>Stammangaben!C11</f>
        <v>0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1.0874999999999999</v>
      </c>
      <c r="L6" s="51">
        <f>IF(LEFT(K14,1)="-",RIGHT(K14,LEN(K14)-1),K14)</f>
        <v>1.0875000000000001</v>
      </c>
      <c r="M6" s="51">
        <f>IF(LEFT(K21,1)="-",RIGHT(K21,LEN(K21)-1),K21)</f>
        <v>1.0875000000000004</v>
      </c>
      <c r="N6" s="51">
        <f>IF(LEFT(K28,1)="-",RIGHT(K28,LEN(K28)-1),K28)</f>
        <v>1.0875000000000006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56">
        <v>0.26250000000000001</v>
      </c>
      <c r="D8" s="57">
        <v>0.38541666666666669</v>
      </c>
      <c r="E8" s="57">
        <v>0.66874999999999996</v>
      </c>
      <c r="F8" s="58">
        <v>2.0833333333333332E-2</v>
      </c>
      <c r="G8" s="59">
        <f>IF(OR(ISBLANK(D8),ISBLANK(E8)),0,E8-D8-F8)</f>
        <v>0.26249999999999996</v>
      </c>
      <c r="H8" s="150"/>
      <c r="I8" s="11" t="str">
        <f>IF((G8-C8)&lt;0,TEXT(C8-G8,"-[h]:mm"),G8-C8)</f>
        <v>-0:00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45667</v>
      </c>
      <c r="B9" s="85" t="s">
        <v>11</v>
      </c>
      <c r="C9" s="56">
        <v>0.30208333333333331</v>
      </c>
      <c r="D9" s="57">
        <v>0.38541666666666669</v>
      </c>
      <c r="E9" s="57">
        <v>0.70833333333333337</v>
      </c>
      <c r="F9" s="58">
        <v>2.0833333333333332E-2</v>
      </c>
      <c r="G9" s="62">
        <f t="shared" ref="G9:G13" si="1">IF(OR(ISBLANK(D9),ISBLANK(E9)),0,E9-D9-F9)</f>
        <v>0.30208333333333337</v>
      </c>
      <c r="H9" s="151"/>
      <c r="I9" s="12">
        <f t="shared" ref="I9:I13" si="2">IF((G9-C9)&lt;0,TEXT(C9-G9,"-[h]:mm"),G9-C9)</f>
        <v>5.5511151231257827E-17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56">
        <v>0.29166666666666669</v>
      </c>
      <c r="D10" s="57">
        <v>0.39583333333333331</v>
      </c>
      <c r="E10" s="57">
        <v>0.70833333333333337</v>
      </c>
      <c r="F10" s="58">
        <v>2.0833333333333332E-2</v>
      </c>
      <c r="G10" s="62">
        <f t="shared" si="1"/>
        <v>0.29166666666666674</v>
      </c>
      <c r="H10" s="151" t="s">
        <v>50</v>
      </c>
      <c r="I10" s="12">
        <f t="shared" si="2"/>
        <v>5.5511151231257827E-17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56">
        <v>0.35416666666666669</v>
      </c>
      <c r="D11" s="57">
        <v>0.29166666666666669</v>
      </c>
      <c r="E11" s="57">
        <v>0.66666666666666663</v>
      </c>
      <c r="F11" s="58">
        <v>2.0833333333333332E-2</v>
      </c>
      <c r="G11" s="62">
        <f t="shared" si="1"/>
        <v>0.35416666666666663</v>
      </c>
      <c r="H11" s="151" t="s">
        <v>50</v>
      </c>
      <c r="I11" s="12" t="str">
        <f t="shared" si="2"/>
        <v>-0:00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Stammangaben!C12</f>
        <v>45663</v>
      </c>
      <c r="B12" s="85" t="s">
        <v>2</v>
      </c>
      <c r="C12" s="56">
        <v>0.30208333333333331</v>
      </c>
      <c r="D12" s="57">
        <v>0.38541666666666669</v>
      </c>
      <c r="E12" s="57">
        <v>0.70833333333333337</v>
      </c>
      <c r="F12" s="58">
        <v>2.0833333333333332E-2</v>
      </c>
      <c r="G12" s="100">
        <f t="shared" si="1"/>
        <v>0.30208333333333337</v>
      </c>
      <c r="H12" s="151"/>
      <c r="I12" s="12">
        <f t="shared" si="2"/>
        <v>5.5511151231257827E-17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v>1</v>
      </c>
      <c r="B14" s="7" t="s">
        <v>10</v>
      </c>
      <c r="C14" s="73">
        <f>SUM(C8:C13)</f>
        <v>1.5125</v>
      </c>
      <c r="D14" s="69"/>
      <c r="E14" s="69"/>
      <c r="F14" s="91">
        <f>SUM(F8:F13)</f>
        <v>0.10416666666666666</v>
      </c>
      <c r="G14" s="71">
        <f>SUM(G8:G13)</f>
        <v>1.5125000000000002</v>
      </c>
      <c r="H14" s="153"/>
      <c r="I14" s="92">
        <f>IF((G14-C14+J14)&lt;0,TEXT(C14-G14-J14,"-[h]:mm"),G14-C14+J14)</f>
        <v>2.2204460492503131E-16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1.0875000000000001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thickBot="1" x14ac:dyDescent="0.3">
      <c r="A15" s="140"/>
      <c r="B15" s="84" t="s">
        <v>0</v>
      </c>
      <c r="C15" s="56">
        <v>0.26250000000000001</v>
      </c>
      <c r="D15" s="57">
        <v>0.38541666666666669</v>
      </c>
      <c r="E15" s="57">
        <v>0.66874999999999996</v>
      </c>
      <c r="F15" s="58">
        <v>2.0833333333333332E-2</v>
      </c>
      <c r="G15" s="59">
        <f>IF(OR(ISBLANK(D15),ISBLANK(E15)),0,E15-D15-F15)</f>
        <v>0.26249999999999996</v>
      </c>
      <c r="H15" s="150"/>
      <c r="I15" s="11" t="str">
        <f t="shared" ref="I15:I20" si="4">IF((G15-C15)&lt;0,TEXT(C15-G15,"-[h]:mm"),G15-C15)</f>
        <v>-0:00</v>
      </c>
      <c r="J15" s="56"/>
      <c r="K15" s="32"/>
      <c r="L15" s="56"/>
      <c r="M15" s="60"/>
      <c r="N15" s="11">
        <f t="shared" si="0"/>
        <v>0</v>
      </c>
      <c r="O15" s="1"/>
      <c r="P15" s="79"/>
      <c r="Q15" s="171"/>
      <c r="R15" s="172"/>
    </row>
    <row r="16" spans="1:20" ht="26.7" customHeight="1" thickBot="1" x14ac:dyDescent="0.3">
      <c r="A16" s="213">
        <f>A19+4</f>
        <v>45674</v>
      </c>
      <c r="B16" s="95" t="s">
        <v>11</v>
      </c>
      <c r="C16" s="56">
        <v>0.30208333333333331</v>
      </c>
      <c r="D16" s="57">
        <v>0.38541666666666669</v>
      </c>
      <c r="E16" s="57">
        <v>0.70833333333333337</v>
      </c>
      <c r="F16" s="58">
        <v>2.0833333333333332E-2</v>
      </c>
      <c r="G16" s="62">
        <f t="shared" ref="G16:G19" si="5">IF(OR(ISBLANK(D16),ISBLANK(E16)),0,E16-D16-F16)</f>
        <v>0.30208333333333337</v>
      </c>
      <c r="H16" s="151"/>
      <c r="I16" s="12">
        <f t="shared" si="4"/>
        <v>5.5511151231257827E-17</v>
      </c>
      <c r="J16" s="61"/>
      <c r="K16" s="33"/>
      <c r="L16" s="61"/>
      <c r="M16" s="63"/>
      <c r="N16" s="12">
        <f t="shared" si="0"/>
        <v>0</v>
      </c>
      <c r="O16" s="2"/>
      <c r="P16" s="80"/>
      <c r="Q16" s="171"/>
      <c r="R16" s="172"/>
    </row>
    <row r="17" spans="1:23" ht="26.7" customHeight="1" thickBot="1" x14ac:dyDescent="0.3">
      <c r="A17" s="213"/>
      <c r="B17" s="95" t="s">
        <v>12</v>
      </c>
      <c r="C17" s="56">
        <v>0.29166666666666669</v>
      </c>
      <c r="D17" s="57">
        <v>0.39583333333333331</v>
      </c>
      <c r="E17" s="57">
        <v>0.70833333333333337</v>
      </c>
      <c r="F17" s="58">
        <v>2.0833333333333332E-2</v>
      </c>
      <c r="G17" s="62">
        <f t="shared" si="5"/>
        <v>0.29166666666666674</v>
      </c>
      <c r="H17" s="151"/>
      <c r="I17" s="12">
        <f t="shared" si="4"/>
        <v>5.5511151231257827E-17</v>
      </c>
      <c r="J17" s="61"/>
      <c r="K17" s="33"/>
      <c r="L17" s="61"/>
      <c r="M17" s="63"/>
      <c r="N17" s="12">
        <f t="shared" si="0"/>
        <v>0</v>
      </c>
      <c r="O17" s="2"/>
      <c r="P17" s="80"/>
      <c r="Q17" s="171"/>
      <c r="R17" s="172"/>
    </row>
    <row r="18" spans="1:23" ht="26.7" customHeight="1" thickBot="1" x14ac:dyDescent="0.3">
      <c r="A18" s="141" t="s">
        <v>45</v>
      </c>
      <c r="B18" s="95" t="s">
        <v>1</v>
      </c>
      <c r="C18" s="56">
        <v>0.35416666666666669</v>
      </c>
      <c r="D18" s="57">
        <v>0.29166666666666669</v>
      </c>
      <c r="E18" s="57">
        <v>0.66666666666666663</v>
      </c>
      <c r="F18" s="58">
        <v>2.0833333333333332E-2</v>
      </c>
      <c r="G18" s="62">
        <f t="shared" si="5"/>
        <v>0.35416666666666663</v>
      </c>
      <c r="H18" s="151"/>
      <c r="I18" s="12" t="str">
        <f t="shared" si="4"/>
        <v>-0:00</v>
      </c>
      <c r="J18" s="61"/>
      <c r="K18" s="33"/>
      <c r="L18" s="61"/>
      <c r="M18" s="63"/>
      <c r="N18" s="12">
        <f t="shared" si="0"/>
        <v>0</v>
      </c>
      <c r="O18" s="2"/>
      <c r="P18" s="80"/>
      <c r="Q18" s="171"/>
      <c r="R18" s="172"/>
    </row>
    <row r="19" spans="1:23" ht="26.7" customHeight="1" x14ac:dyDescent="0.25">
      <c r="A19" s="212">
        <f>A9+3</f>
        <v>45670</v>
      </c>
      <c r="B19" s="95" t="s">
        <v>2</v>
      </c>
      <c r="C19" s="56">
        <v>0.30208333333333331</v>
      </c>
      <c r="D19" s="57">
        <v>0.38541666666666669</v>
      </c>
      <c r="E19" s="57">
        <v>0.70833333333333337</v>
      </c>
      <c r="F19" s="58">
        <v>2.0833333333333332E-2</v>
      </c>
      <c r="G19" s="62">
        <f t="shared" si="5"/>
        <v>0.30208333333333337</v>
      </c>
      <c r="H19" s="151"/>
      <c r="I19" s="12">
        <f t="shared" si="4"/>
        <v>5.5511151231257827E-17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1"/>
      <c r="R20" s="172"/>
    </row>
    <row r="21" spans="1:23" ht="26.7" customHeight="1" thickBot="1" x14ac:dyDescent="0.35">
      <c r="A21" s="143">
        <f>IF(A14&lt;&gt;"",A14+1,"")</f>
        <v>2</v>
      </c>
      <c r="B21" s="104" t="s">
        <v>10</v>
      </c>
      <c r="C21" s="105">
        <f>SUM(C15:C20)</f>
        <v>1.5125</v>
      </c>
      <c r="D21" s="74"/>
      <c r="E21" s="74"/>
      <c r="F21" s="91">
        <f>SUM(F15:F20)</f>
        <v>0.10416666666666666</v>
      </c>
      <c r="G21" s="71">
        <f>SUM(G15:G20)</f>
        <v>1.5125000000000002</v>
      </c>
      <c r="H21" s="153"/>
      <c r="I21" s="92">
        <f>IF((G21-C21+J21)&lt;0,TEXT(C21-G21-J21,"-[h]:mm"),G21-C21+J21)</f>
        <v>2.2204460492503131E-16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1.0875000000000004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96"/>
      <c r="R21" s="197"/>
    </row>
    <row r="22" spans="1:23" ht="26.7" customHeight="1" thickBot="1" x14ac:dyDescent="0.3">
      <c r="A22" s="140"/>
      <c r="B22" s="84" t="s">
        <v>0</v>
      </c>
      <c r="C22" s="56">
        <v>0.26250000000000001</v>
      </c>
      <c r="D22" s="57">
        <v>0.38541666666666669</v>
      </c>
      <c r="E22" s="57">
        <v>0.66874999999999996</v>
      </c>
      <c r="F22" s="58">
        <v>2.0833333333333332E-2</v>
      </c>
      <c r="G22" s="59">
        <f>IF(OR(ISBLANK(D22),ISBLANK(E22)),0,E22-D22-F22)</f>
        <v>0.26249999999999996</v>
      </c>
      <c r="H22" s="150"/>
      <c r="I22" s="11" t="str">
        <f t="shared" ref="I22:I27" si="8">IF((G22-C22)&lt;0,TEXT(C22-G22,"-[h]:mm"),G22-C22)</f>
        <v>-0:00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thickBot="1" x14ac:dyDescent="0.3">
      <c r="A23" s="213">
        <f>A26+4</f>
        <v>45681</v>
      </c>
      <c r="B23" s="95" t="s">
        <v>11</v>
      </c>
      <c r="C23" s="56">
        <v>0.30208333333333331</v>
      </c>
      <c r="D23" s="57">
        <v>0.38541666666666669</v>
      </c>
      <c r="E23" s="57">
        <v>0.70833333333333337</v>
      </c>
      <c r="F23" s="58">
        <v>2.0833333333333332E-2</v>
      </c>
      <c r="G23" s="62">
        <f t="shared" ref="G23:G27" si="9">IF(OR(ISBLANK(D23),ISBLANK(E23)),0,E23-D23-F23)</f>
        <v>0.30208333333333337</v>
      </c>
      <c r="H23" s="151"/>
      <c r="I23" s="12">
        <f t="shared" si="8"/>
        <v>5.5511151231257827E-17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thickBot="1" x14ac:dyDescent="0.3">
      <c r="A24" s="213"/>
      <c r="B24" s="95" t="s">
        <v>12</v>
      </c>
      <c r="C24" s="56">
        <v>0.29166666666666669</v>
      </c>
      <c r="D24" s="57">
        <v>0.39583333333333331</v>
      </c>
      <c r="E24" s="57">
        <v>0.70833333333333337</v>
      </c>
      <c r="F24" s="58">
        <v>2.0833333333333332E-2</v>
      </c>
      <c r="G24" s="62">
        <f t="shared" si="9"/>
        <v>0.29166666666666674</v>
      </c>
      <c r="H24" s="151"/>
      <c r="I24" s="12">
        <f t="shared" si="8"/>
        <v>5.5511151231257827E-17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thickBot="1" x14ac:dyDescent="0.3">
      <c r="A25" s="141" t="s">
        <v>45</v>
      </c>
      <c r="B25" s="95" t="s">
        <v>1</v>
      </c>
      <c r="C25" s="56">
        <v>0.35416666666666669</v>
      </c>
      <c r="D25" s="57">
        <v>0.29166666666666669</v>
      </c>
      <c r="E25" s="57">
        <v>0.66666666666666663</v>
      </c>
      <c r="F25" s="58">
        <v>2.0833333333333332E-2</v>
      </c>
      <c r="G25" s="62">
        <f t="shared" si="9"/>
        <v>0.35416666666666663</v>
      </c>
      <c r="H25" s="151"/>
      <c r="I25" s="12" t="str">
        <f t="shared" si="8"/>
        <v>-0:00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45677</v>
      </c>
      <c r="B26" s="95" t="s">
        <v>2</v>
      </c>
      <c r="C26" s="56">
        <v>0.30208333333333331</v>
      </c>
      <c r="D26" s="57">
        <v>0.38541666666666669</v>
      </c>
      <c r="E26" s="57">
        <v>0.70833333333333337</v>
      </c>
      <c r="F26" s="58">
        <v>2.0833333333333332E-2</v>
      </c>
      <c r="G26" s="62">
        <f t="shared" si="9"/>
        <v>0.30208333333333337</v>
      </c>
      <c r="H26" s="151"/>
      <c r="I26" s="12">
        <f t="shared" si="8"/>
        <v>5.5511151231257827E-17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3</v>
      </c>
      <c r="B28" s="104" t="s">
        <v>10</v>
      </c>
      <c r="C28" s="105">
        <f>SUM(C22:C27)</f>
        <v>1.5125</v>
      </c>
      <c r="D28" s="74"/>
      <c r="E28" s="74"/>
      <c r="F28" s="91">
        <f>SUM(F22:F27)</f>
        <v>0.10416666666666666</v>
      </c>
      <c r="G28" s="71">
        <f>SUM(G22:G27)</f>
        <v>1.5125000000000002</v>
      </c>
      <c r="H28" s="153"/>
      <c r="I28" s="92">
        <f>IF((G28-C28+J28)&lt;0,TEXT(C28-G28-J28,"-[h]:mm"),G28-C28+J28)</f>
        <v>2.2204460492503131E-16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1.0875000000000006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thickBot="1" x14ac:dyDescent="0.3">
      <c r="A29" s="140"/>
      <c r="B29" s="84" t="s">
        <v>0</v>
      </c>
      <c r="C29" s="56">
        <v>0.26250000000000001</v>
      </c>
      <c r="D29" s="57">
        <v>0.38541666666666669</v>
      </c>
      <c r="E29" s="57">
        <v>0.66874999999999996</v>
      </c>
      <c r="F29" s="58">
        <v>2.0833333333333332E-2</v>
      </c>
      <c r="G29" s="59">
        <f>IF(OR(ISBLANK(D29),ISBLANK(E29)),0,E29-D29-F29)</f>
        <v>0.26249999999999996</v>
      </c>
      <c r="H29" s="150"/>
      <c r="I29" s="11" t="str">
        <f>IF((G29-C29)&lt;0,TEXT(C29-G29,"-[h]:mm"),G29-C29)</f>
        <v>-0:00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thickBot="1" x14ac:dyDescent="0.3">
      <c r="A30" s="213">
        <f>A33+4</f>
        <v>45688</v>
      </c>
      <c r="B30" s="95" t="s">
        <v>11</v>
      </c>
      <c r="C30" s="56">
        <v>0.30208333333333331</v>
      </c>
      <c r="D30" s="57">
        <v>0.38541666666666669</v>
      </c>
      <c r="E30" s="57">
        <v>0.70833333333333337</v>
      </c>
      <c r="F30" s="58">
        <v>2.0833333333333332E-2</v>
      </c>
      <c r="G30" s="62">
        <f t="shared" ref="G30:G34" si="11">IF(OR(ISBLANK(D30),ISBLANK(E30)),0,E30-D30-F30)</f>
        <v>0.30208333333333337</v>
      </c>
      <c r="H30" s="151"/>
      <c r="I30" s="12">
        <f>IF((G30-C30)&lt;0,TEXT(C30-G30,"-[h]:mm"),G30-C30)</f>
        <v>5.5511151231257827E-17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thickBot="1" x14ac:dyDescent="0.3">
      <c r="A31" s="213"/>
      <c r="B31" s="95" t="s">
        <v>12</v>
      </c>
      <c r="C31" s="56">
        <v>0.29166666666666669</v>
      </c>
      <c r="D31" s="57">
        <v>0.39583333333333331</v>
      </c>
      <c r="E31" s="57">
        <v>0.70833333333333337</v>
      </c>
      <c r="F31" s="58">
        <v>2.0833333333333332E-2</v>
      </c>
      <c r="G31" s="62">
        <f t="shared" si="11"/>
        <v>0.29166666666666674</v>
      </c>
      <c r="H31" s="151"/>
      <c r="I31" s="12">
        <f>IF((G31-C31)&lt;0,TEXT(C31-G31,"-[h]:mm"),G31-C31)</f>
        <v>5.5511151231257827E-17</v>
      </c>
      <c r="J31" s="61"/>
      <c r="K31" s="33"/>
      <c r="L31" s="61"/>
      <c r="M31" s="63"/>
      <c r="N31" s="12">
        <f t="shared" si="0"/>
        <v>0</v>
      </c>
      <c r="O31" s="2"/>
      <c r="P31" s="80"/>
      <c r="Q31" s="177"/>
      <c r="R31" s="174"/>
    </row>
    <row r="32" spans="1:23" ht="26.7" customHeight="1" thickBot="1" x14ac:dyDescent="0.3">
      <c r="A32" s="141" t="s">
        <v>45</v>
      </c>
      <c r="B32" s="95" t="s">
        <v>1</v>
      </c>
      <c r="C32" s="56">
        <v>0.35416666666666669</v>
      </c>
      <c r="D32" s="57">
        <v>0.29166666666666669</v>
      </c>
      <c r="E32" s="57">
        <v>0.66666666666666663</v>
      </c>
      <c r="F32" s="58">
        <v>2.0833333333333332E-2</v>
      </c>
      <c r="G32" s="62">
        <f t="shared" si="11"/>
        <v>0.35416666666666663</v>
      </c>
      <c r="H32" s="151"/>
      <c r="I32" s="12" t="str">
        <f>IF((G32-C32)&lt;0,TEXT(C32-G32,"-[h]:mm"),G32-C32)</f>
        <v>-0:00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45684</v>
      </c>
      <c r="B33" s="95" t="s">
        <v>2</v>
      </c>
      <c r="C33" s="56">
        <v>0.30208333333333331</v>
      </c>
      <c r="D33" s="57">
        <v>0.38541666666666669</v>
      </c>
      <c r="E33" s="57">
        <v>0.70833333333333337</v>
      </c>
      <c r="F33" s="58">
        <v>2.0833333333333332E-2</v>
      </c>
      <c r="G33" s="62">
        <f t="shared" si="11"/>
        <v>0.30208333333333337</v>
      </c>
      <c r="H33" s="151"/>
      <c r="I33" s="12">
        <f t="shared" ref="I33:I34" si="12">IF((G33-C33)&lt;0,TEXT(C33-G33,"-[hh]:mm"),G33-C33)</f>
        <v>5.5511151231257827E-17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4</v>
      </c>
      <c r="B35" s="104" t="s">
        <v>10</v>
      </c>
      <c r="C35" s="73">
        <f>SUM(C29:C34)</f>
        <v>1.5125</v>
      </c>
      <c r="D35" s="74"/>
      <c r="E35" s="74"/>
      <c r="F35" s="91">
        <f>SUM(F29:F34)</f>
        <v>0.10416666666666666</v>
      </c>
      <c r="G35" s="71">
        <f>SUM(G29:G34)</f>
        <v>1.5125000000000002</v>
      </c>
      <c r="H35" s="153"/>
      <c r="I35" s="92">
        <f>IF((G35-C35+J35)&lt;0,TEXT(C35-G35-J35,"-[h]:mm"),G35-C35+J35)</f>
        <v>2.2204460492503131E-16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1.0875000000000008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6.05</v>
      </c>
      <c r="D36" s="23"/>
      <c r="E36" s="23"/>
      <c r="F36" s="23"/>
      <c r="G36" s="6">
        <f>G14+G21+G28+G35</f>
        <v>6.0500000000000007</v>
      </c>
      <c r="H36" s="154"/>
      <c r="I36" s="14">
        <f>IF((G36-C36+J36)&lt;0,TEXT(C36-G36-J36,"-[h]:mm"),G36-C36+J36)</f>
        <v>8.8817841970012523E-16</v>
      </c>
      <c r="J36" s="35">
        <f>J14+J21+J28+J35</f>
        <v>0</v>
      </c>
      <c r="K36" s="35">
        <f>K35</f>
        <v>1.0875000000000008</v>
      </c>
      <c r="L36" s="24"/>
      <c r="M36" s="25"/>
      <c r="N36" s="189" t="s">
        <v>27</v>
      </c>
      <c r="O36" s="190"/>
      <c r="P36" s="191"/>
      <c r="Q36" s="187">
        <f>K36</f>
        <v>1.0875000000000008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2.2204460492503131E-16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V2YbpbKvzp8EuU89bepB3QSewhW12TjcFP4jAiWtSa1W+5WnVdJrIpZFXBD7K/vtSNqr6A8cIJham2GlJbar/A==" saltValue="oVp1dec1bOv31fGx2fimtA==" spinCount="100000" sheet="1" selectLockedCells="1"/>
  <mergeCells count="57">
    <mergeCell ref="A26:A27"/>
    <mergeCell ref="A30:A31"/>
    <mergeCell ref="A33:A34"/>
    <mergeCell ref="A12:A13"/>
    <mergeCell ref="A9:A10"/>
    <mergeCell ref="A16:A17"/>
    <mergeCell ref="A19:A20"/>
    <mergeCell ref="A23:A24"/>
    <mergeCell ref="A1:R1"/>
    <mergeCell ref="C3:I3"/>
    <mergeCell ref="C5:G5"/>
    <mergeCell ref="Q8:R8"/>
    <mergeCell ref="C4:G4"/>
    <mergeCell ref="L5:N5"/>
    <mergeCell ref="A2:B2"/>
    <mergeCell ref="O2:R2"/>
    <mergeCell ref="C2:M2"/>
    <mergeCell ref="Q23:R23"/>
    <mergeCell ref="Q24:R24"/>
    <mergeCell ref="Q15:R15"/>
    <mergeCell ref="L3:N3"/>
    <mergeCell ref="Q7:R7"/>
    <mergeCell ref="Q11:R11"/>
    <mergeCell ref="Q9:R9"/>
    <mergeCell ref="Q10:R10"/>
    <mergeCell ref="Q12:R12"/>
    <mergeCell ref="Q13:R13"/>
    <mergeCell ref="Q16:R16"/>
    <mergeCell ref="Q17:R17"/>
    <mergeCell ref="Q18:R18"/>
    <mergeCell ref="Q14:R14"/>
    <mergeCell ref="Q21:R21"/>
    <mergeCell ref="Q22:R22"/>
    <mergeCell ref="Q25:R25"/>
    <mergeCell ref="Q19:R19"/>
    <mergeCell ref="Q20:R20"/>
    <mergeCell ref="F41:I41"/>
    <mergeCell ref="M40:R40"/>
    <mergeCell ref="M41:R41"/>
    <mergeCell ref="F39:I39"/>
    <mergeCell ref="F38:I38"/>
    <mergeCell ref="N37:P37"/>
    <mergeCell ref="Q37:R37"/>
    <mergeCell ref="Q26:R26"/>
    <mergeCell ref="Q27:R27"/>
    <mergeCell ref="M39:R39"/>
    <mergeCell ref="M38:R38"/>
    <mergeCell ref="Q36:R36"/>
    <mergeCell ref="N36:P36"/>
    <mergeCell ref="Q28:R28"/>
    <mergeCell ref="Q33:R33"/>
    <mergeCell ref="Q34:R34"/>
    <mergeCell ref="Q35:R35"/>
    <mergeCell ref="Q29:R29"/>
    <mergeCell ref="Q32:R32"/>
    <mergeCell ref="Q31:R31"/>
    <mergeCell ref="Q30:R30"/>
  </mergeCells>
  <phoneticPr fontId="2" type="noConversion"/>
  <dataValidations count="1">
    <dataValidation type="list" allowBlank="1" showInputMessage="1" showErrorMessage="1" sqref="H8:H13 H15:H20 H22:H27 H29:H34" xr:uid="{00000000-0002-0000-01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7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E84470F-2E73-412E-B19E-5907D5DC50E3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pageSetUpPr fitToPage="1"/>
  </sheetPr>
  <dimension ref="A1:W41"/>
  <sheetViews>
    <sheetView topLeftCell="A14" zoomScale="137" zoomScaleNormal="100" zoomScaleSheetLayoutView="75" workbookViewId="0">
      <selection activeCell="P32" sqref="P32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01-04'!K36</f>
        <v>1.0875000000000008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01-04'!I35</f>
        <v>2.2204460492503131E-16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1.0875000000000008</v>
      </c>
      <c r="L6" s="51">
        <f>IF(LEFT(K14,1)="-",RIGHT(K14,LEN(K14)-1),K14)</f>
        <v>1.087500000000001</v>
      </c>
      <c r="M6" s="51">
        <f>IF(LEFT(K21,1)="-",RIGHT(K21,LEN(K21)-1),K21)</f>
        <v>1.0875000000000012</v>
      </c>
      <c r="N6" s="51">
        <f>IF(LEFT(K28,1)="-",RIGHT(K28,LEN(K28)-1),K28)</f>
        <v>1.0875000000000015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56">
        <v>0.26250000000000001</v>
      </c>
      <c r="D8" s="57">
        <v>0.38541666666666669</v>
      </c>
      <c r="E8" s="57">
        <v>0.66874999999999996</v>
      </c>
      <c r="F8" s="58">
        <v>2.0833333333333332E-2</v>
      </c>
      <c r="G8" s="59">
        <f>IF(OR(ISBLANK(D8),ISBLANK(E8)),0,E8-D8-F8)</f>
        <v>0.26249999999999996</v>
      </c>
      <c r="H8" s="150"/>
      <c r="I8" s="11" t="str">
        <f>IF((G8-C8)&lt;0,TEXT(C8-G8,"-[h]:mm"),G8-C8)</f>
        <v>-0:00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45695</v>
      </c>
      <c r="B9" s="85" t="s">
        <v>11</v>
      </c>
      <c r="C9" s="56">
        <v>0.30208333333333331</v>
      </c>
      <c r="D9" s="57">
        <v>0.38541666666666669</v>
      </c>
      <c r="E9" s="57">
        <v>0.70833333333333337</v>
      </c>
      <c r="F9" s="58">
        <v>2.0833333333333332E-2</v>
      </c>
      <c r="G9" s="62">
        <f t="shared" ref="G9:G13" si="1">IF(OR(ISBLANK(D9),ISBLANK(E9)),0,E9-D9-F9)</f>
        <v>0.30208333333333337</v>
      </c>
      <c r="H9" s="151"/>
      <c r="I9" s="12">
        <f t="shared" ref="I9:I13" si="2">IF((G9-C9)&lt;0,TEXT(C9-G9,"-[h]:mm"),G9-C9)</f>
        <v>5.5511151231257827E-17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56">
        <v>0.29166666666666669</v>
      </c>
      <c r="D10" s="57">
        <v>0.39583333333333331</v>
      </c>
      <c r="E10" s="57">
        <v>0.70833333333333337</v>
      </c>
      <c r="F10" s="58">
        <v>2.0833333333333332E-2</v>
      </c>
      <c r="G10" s="62">
        <f t="shared" si="1"/>
        <v>0.29166666666666674</v>
      </c>
      <c r="H10" s="151"/>
      <c r="I10" s="12">
        <f t="shared" si="2"/>
        <v>5.5511151231257827E-17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56">
        <v>0.35416666666666669</v>
      </c>
      <c r="D11" s="57">
        <v>0.29166666666666669</v>
      </c>
      <c r="E11" s="57">
        <v>0.66666666666666663</v>
      </c>
      <c r="F11" s="58">
        <v>2.0833333333333332E-2</v>
      </c>
      <c r="G11" s="62">
        <f t="shared" si="1"/>
        <v>0.35416666666666663</v>
      </c>
      <c r="H11" s="151"/>
      <c r="I11" s="12" t="str">
        <f t="shared" si="2"/>
        <v>-0:00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01-04'!A30+3</f>
        <v>45691</v>
      </c>
      <c r="B12" s="85" t="s">
        <v>2</v>
      </c>
      <c r="C12" s="56">
        <v>0.30208333333333331</v>
      </c>
      <c r="D12" s="57">
        <v>0.38541666666666669</v>
      </c>
      <c r="E12" s="57">
        <v>0.70833333333333337</v>
      </c>
      <c r="F12" s="58">
        <v>2.0833333333333332E-2</v>
      </c>
      <c r="G12" s="100">
        <f t="shared" si="1"/>
        <v>0.30208333333333337</v>
      </c>
      <c r="H12" s="151"/>
      <c r="I12" s="12">
        <f t="shared" si="2"/>
        <v>5.5511151231257827E-17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01-04'!A35+1</f>
        <v>5</v>
      </c>
      <c r="B14" s="7" t="s">
        <v>10</v>
      </c>
      <c r="C14" s="73">
        <f>SUM(C8:C13)</f>
        <v>1.5125</v>
      </c>
      <c r="D14" s="69"/>
      <c r="E14" s="69"/>
      <c r="F14" s="91">
        <f>SUM(F8:F13)</f>
        <v>0.10416666666666666</v>
      </c>
      <c r="G14" s="71">
        <f>SUM(G8:G13)</f>
        <v>1.5125000000000002</v>
      </c>
      <c r="H14" s="153"/>
      <c r="I14" s="92">
        <f>IF((G14-C14+J14)&lt;0,TEXT(C14-G14-J14,"-[h]:mm"),G14-C14+J14)</f>
        <v>2.2204460492503131E-16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1.087500000000001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thickBot="1" x14ac:dyDescent="0.3">
      <c r="A15" s="140"/>
      <c r="B15" s="84" t="s">
        <v>0</v>
      </c>
      <c r="C15" s="56">
        <v>0.26250000000000001</v>
      </c>
      <c r="D15" s="57">
        <v>0.38541666666666669</v>
      </c>
      <c r="E15" s="57">
        <v>0.66874999999999996</v>
      </c>
      <c r="F15" s="58">
        <v>2.0833333333333332E-2</v>
      </c>
      <c r="G15" s="59">
        <f>IF(OR(ISBLANK(D15),ISBLANK(E15)),0,E15-D15-F15)</f>
        <v>0.26249999999999996</v>
      </c>
      <c r="H15" s="150"/>
      <c r="I15" s="11" t="str">
        <f t="shared" ref="I15:I20" si="4">IF((G15-C15)&lt;0,TEXT(C15-G15,"-[h]:mm"),G15-C15)</f>
        <v>-0:00</v>
      </c>
      <c r="J15" s="56"/>
      <c r="K15" s="32"/>
      <c r="L15" s="56"/>
      <c r="M15" s="60"/>
      <c r="N15" s="11">
        <f t="shared" si="0"/>
        <v>0</v>
      </c>
      <c r="O15" s="1"/>
      <c r="P15" s="79"/>
      <c r="Q15" s="214"/>
      <c r="R15" s="176"/>
    </row>
    <row r="16" spans="1:20" ht="26.7" customHeight="1" thickBot="1" x14ac:dyDescent="0.3">
      <c r="A16" s="213">
        <f>A19+4</f>
        <v>45702</v>
      </c>
      <c r="B16" s="95" t="s">
        <v>11</v>
      </c>
      <c r="C16" s="56">
        <v>0.30208333333333331</v>
      </c>
      <c r="D16" s="57">
        <v>0.38541666666666669</v>
      </c>
      <c r="E16" s="57">
        <v>0.70833333333333337</v>
      </c>
      <c r="F16" s="58">
        <v>2.0833333333333332E-2</v>
      </c>
      <c r="G16" s="62">
        <f t="shared" ref="G16:G19" si="5">IF(OR(ISBLANK(D16),ISBLANK(E16)),0,E16-D16-F16)</f>
        <v>0.30208333333333337</v>
      </c>
      <c r="H16" s="151"/>
      <c r="I16" s="12">
        <f t="shared" si="4"/>
        <v>5.5511151231257827E-17</v>
      </c>
      <c r="J16" s="61"/>
      <c r="K16" s="33"/>
      <c r="L16" s="61"/>
      <c r="M16" s="63"/>
      <c r="N16" s="12">
        <f t="shared" si="0"/>
        <v>0</v>
      </c>
      <c r="O16" s="2"/>
      <c r="P16" s="157"/>
      <c r="Q16" s="177"/>
      <c r="R16" s="174"/>
    </row>
    <row r="17" spans="1:23" ht="26.7" customHeight="1" thickBot="1" x14ac:dyDescent="0.3">
      <c r="A17" s="213"/>
      <c r="B17" s="95" t="s">
        <v>12</v>
      </c>
      <c r="C17" s="56">
        <v>0.29166666666666669</v>
      </c>
      <c r="D17" s="57">
        <v>0.39583333333333331</v>
      </c>
      <c r="E17" s="57">
        <v>0.70833333333333337</v>
      </c>
      <c r="F17" s="58">
        <v>2.0833333333333332E-2</v>
      </c>
      <c r="G17" s="62">
        <f t="shared" si="5"/>
        <v>0.29166666666666674</v>
      </c>
      <c r="H17" s="151"/>
      <c r="I17" s="12">
        <f t="shared" si="4"/>
        <v>5.5511151231257827E-17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thickBot="1" x14ac:dyDescent="0.3">
      <c r="A18" s="141" t="s">
        <v>45</v>
      </c>
      <c r="B18" s="95" t="s">
        <v>1</v>
      </c>
      <c r="C18" s="56">
        <v>0.35416666666666669</v>
      </c>
      <c r="D18" s="57">
        <v>0.29166666666666669</v>
      </c>
      <c r="E18" s="57">
        <v>0.66666666666666663</v>
      </c>
      <c r="F18" s="58">
        <v>2.0833333333333332E-2</v>
      </c>
      <c r="G18" s="62">
        <f t="shared" si="5"/>
        <v>0.35416666666666663</v>
      </c>
      <c r="H18" s="151"/>
      <c r="I18" s="12" t="str">
        <f t="shared" si="4"/>
        <v>-0:00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45698</v>
      </c>
      <c r="B19" s="95" t="s">
        <v>2</v>
      </c>
      <c r="C19" s="56">
        <v>0.30208333333333331</v>
      </c>
      <c r="D19" s="57">
        <v>0.38541666666666669</v>
      </c>
      <c r="E19" s="57">
        <v>0.70833333333333337</v>
      </c>
      <c r="F19" s="58">
        <v>2.0833333333333332E-2</v>
      </c>
      <c r="G19" s="62">
        <f t="shared" si="5"/>
        <v>0.30208333333333337</v>
      </c>
      <c r="H19" s="151"/>
      <c r="I19" s="12">
        <f t="shared" si="4"/>
        <v>5.5511151231257827E-17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6</v>
      </c>
      <c r="B21" s="104" t="s">
        <v>10</v>
      </c>
      <c r="C21" s="105">
        <f>SUM(C15:C20)</f>
        <v>1.5125</v>
      </c>
      <c r="D21" s="74"/>
      <c r="E21" s="74"/>
      <c r="F21" s="91">
        <f>SUM(F15:F20)</f>
        <v>0.10416666666666666</v>
      </c>
      <c r="G21" s="71">
        <f>SUM(G15:G20)</f>
        <v>1.5125000000000002</v>
      </c>
      <c r="H21" s="153"/>
      <c r="I21" s="92">
        <f>IF((G21-C21+J21)&lt;0,TEXT(C21-G21-J21,"-[h]:mm"),G21-C21+J21)</f>
        <v>2.2204460492503131E-16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1.0875000000000012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thickBot="1" x14ac:dyDescent="0.3">
      <c r="A22" s="140"/>
      <c r="B22" s="84" t="s">
        <v>0</v>
      </c>
      <c r="C22" s="56">
        <v>0.26250000000000001</v>
      </c>
      <c r="D22" s="57">
        <v>0.38541666666666669</v>
      </c>
      <c r="E22" s="57">
        <v>0.66874999999999996</v>
      </c>
      <c r="F22" s="58">
        <v>2.0833333333333332E-2</v>
      </c>
      <c r="G22" s="59">
        <f>IF(OR(ISBLANK(D22),ISBLANK(E22)),0,E22-D22-F22)</f>
        <v>0.26249999999999996</v>
      </c>
      <c r="H22" s="150"/>
      <c r="I22" s="11" t="str">
        <f t="shared" ref="I22:I27" si="8">IF((G22-C22)&lt;0,TEXT(C22-G22,"-[h]:mm"),G22-C22)</f>
        <v>-0:00</v>
      </c>
      <c r="J22" s="56"/>
      <c r="K22" s="32"/>
      <c r="L22" s="56"/>
      <c r="M22" s="60"/>
      <c r="N22" s="11">
        <f t="shared" si="0"/>
        <v>0</v>
      </c>
      <c r="O22" s="1"/>
      <c r="P22" s="82"/>
      <c r="Q22" s="171"/>
      <c r="R22" s="172"/>
      <c r="U22" s="4"/>
      <c r="V22" s="4"/>
      <c r="W22" s="4"/>
    </row>
    <row r="23" spans="1:23" ht="26.7" customHeight="1" thickBot="1" x14ac:dyDescent="0.3">
      <c r="A23" s="213">
        <f>A26+4</f>
        <v>45709</v>
      </c>
      <c r="B23" s="95" t="s">
        <v>11</v>
      </c>
      <c r="C23" s="56">
        <v>0.30208333333333331</v>
      </c>
      <c r="D23" s="57">
        <v>0.38541666666666669</v>
      </c>
      <c r="E23" s="57">
        <v>0.70833333333333337</v>
      </c>
      <c r="F23" s="58">
        <v>2.0833333333333332E-2</v>
      </c>
      <c r="G23" s="62">
        <f t="shared" ref="G23:G27" si="9">IF(OR(ISBLANK(D23),ISBLANK(E23)),0,E23-D23-F23)</f>
        <v>0.30208333333333337</v>
      </c>
      <c r="H23" s="151"/>
      <c r="I23" s="12">
        <f t="shared" si="8"/>
        <v>5.5511151231257827E-17</v>
      </c>
      <c r="J23" s="61"/>
      <c r="K23" s="33"/>
      <c r="L23" s="61"/>
      <c r="M23" s="63"/>
      <c r="N23" s="12">
        <f t="shared" si="0"/>
        <v>0</v>
      </c>
      <c r="O23" s="2"/>
      <c r="P23" s="80"/>
      <c r="Q23" s="171"/>
      <c r="R23" s="172"/>
      <c r="U23" s="4"/>
      <c r="V23" s="4"/>
      <c r="W23" s="4"/>
    </row>
    <row r="24" spans="1:23" ht="26.7" customHeight="1" thickBot="1" x14ac:dyDescent="0.3">
      <c r="A24" s="213"/>
      <c r="B24" s="95" t="s">
        <v>12</v>
      </c>
      <c r="C24" s="56">
        <v>0.29166666666666669</v>
      </c>
      <c r="D24" s="57">
        <v>0.39583333333333331</v>
      </c>
      <c r="E24" s="57">
        <v>0.70833333333333337</v>
      </c>
      <c r="F24" s="58">
        <v>2.0833333333333332E-2</v>
      </c>
      <c r="G24" s="62">
        <f t="shared" si="9"/>
        <v>0.29166666666666674</v>
      </c>
      <c r="H24" s="151"/>
      <c r="I24" s="12">
        <f t="shared" si="8"/>
        <v>5.5511151231257827E-17</v>
      </c>
      <c r="J24" s="61"/>
      <c r="K24" s="33"/>
      <c r="L24" s="61"/>
      <c r="M24" s="63"/>
      <c r="N24" s="12">
        <f t="shared" si="0"/>
        <v>0</v>
      </c>
      <c r="O24" s="2"/>
      <c r="P24" s="80"/>
      <c r="Q24" s="171"/>
      <c r="R24" s="172"/>
      <c r="U24" s="4"/>
      <c r="V24" s="4"/>
      <c r="W24" s="4"/>
    </row>
    <row r="25" spans="1:23" ht="26.7" customHeight="1" thickBot="1" x14ac:dyDescent="0.3">
      <c r="A25" s="141" t="s">
        <v>45</v>
      </c>
      <c r="B25" s="95" t="s">
        <v>1</v>
      </c>
      <c r="C25" s="56">
        <v>0.35416666666666669</v>
      </c>
      <c r="D25" s="57">
        <v>0.29166666666666669</v>
      </c>
      <c r="E25" s="57">
        <v>0.66666666666666663</v>
      </c>
      <c r="F25" s="58">
        <v>2.0833333333333332E-2</v>
      </c>
      <c r="G25" s="62">
        <f t="shared" si="9"/>
        <v>0.35416666666666663</v>
      </c>
      <c r="H25" s="151"/>
      <c r="I25" s="12" t="str">
        <f t="shared" si="8"/>
        <v>-0:00</v>
      </c>
      <c r="J25" s="61"/>
      <c r="K25" s="33"/>
      <c r="L25" s="61"/>
      <c r="M25" s="63"/>
      <c r="N25" s="12">
        <f t="shared" si="0"/>
        <v>0</v>
      </c>
      <c r="O25" s="2"/>
      <c r="P25" s="80"/>
      <c r="Q25" s="171"/>
      <c r="R25" s="172"/>
      <c r="U25" s="4"/>
      <c r="V25" s="4"/>
      <c r="W25" s="4"/>
    </row>
    <row r="26" spans="1:23" ht="26.7" customHeight="1" x14ac:dyDescent="0.25">
      <c r="A26" s="212">
        <f>A16+3</f>
        <v>45705</v>
      </c>
      <c r="B26" s="95" t="s">
        <v>2</v>
      </c>
      <c r="C26" s="56">
        <v>0.30208333333333331</v>
      </c>
      <c r="D26" s="57">
        <v>0.38541666666666669</v>
      </c>
      <c r="E26" s="57">
        <v>0.70833333333333337</v>
      </c>
      <c r="F26" s="58">
        <v>2.0833333333333332E-2</v>
      </c>
      <c r="G26" s="62">
        <f t="shared" si="9"/>
        <v>0.30208333333333337</v>
      </c>
      <c r="H26" s="151"/>
      <c r="I26" s="12">
        <f t="shared" si="8"/>
        <v>5.5511151231257827E-17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7</v>
      </c>
      <c r="B28" s="104" t="s">
        <v>10</v>
      </c>
      <c r="C28" s="105">
        <f>SUM(C22:C27)</f>
        <v>1.5125</v>
      </c>
      <c r="D28" s="74"/>
      <c r="E28" s="74"/>
      <c r="F28" s="91">
        <f>SUM(F22:F27)</f>
        <v>0.10416666666666666</v>
      </c>
      <c r="G28" s="71">
        <f>SUM(G22:G27)</f>
        <v>1.5125000000000002</v>
      </c>
      <c r="H28" s="153"/>
      <c r="I28" s="92">
        <f>IF((G28-C28+J28)&lt;0,TEXT(C28-G28-J28,"-[h]:mm"),G28-C28+J28)</f>
        <v>2.2204460492503131E-16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1.0875000000000015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215"/>
      <c r="R28" s="216"/>
      <c r="S28" s="15"/>
    </row>
    <row r="29" spans="1:23" ht="26.7" customHeight="1" thickBot="1" x14ac:dyDescent="0.3">
      <c r="A29" s="140"/>
      <c r="B29" s="84" t="s">
        <v>0</v>
      </c>
      <c r="C29" s="158">
        <v>0.26250000000000001</v>
      </c>
      <c r="D29" s="159">
        <v>0.38541666666666669</v>
      </c>
      <c r="E29" s="159">
        <v>0.66874999999999996</v>
      </c>
      <c r="F29" s="160">
        <v>2.0833333333333332E-2</v>
      </c>
      <c r="G29" s="59">
        <f>IF(OR(ISBLANK(D29),ISBLANK(E29)),0,E29-D29-F29)</f>
        <v>0.26249999999999996</v>
      </c>
      <c r="H29" s="150"/>
      <c r="I29" s="11" t="str">
        <f>IF((G29-C29)&lt;0,TEXT(C29-G29,"-[h]:mm"),G29-C29)</f>
        <v>-0:00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thickBot="1" x14ac:dyDescent="0.3">
      <c r="A30" s="213">
        <f>A33+4</f>
        <v>45716</v>
      </c>
      <c r="B30" s="95" t="s">
        <v>11</v>
      </c>
      <c r="C30" s="158">
        <v>0.30208333333333331</v>
      </c>
      <c r="D30" s="159">
        <v>0.38541666666666669</v>
      </c>
      <c r="E30" s="159">
        <v>0.70833333333333337</v>
      </c>
      <c r="F30" s="160">
        <v>2.0833333333333332E-2</v>
      </c>
      <c r="G30" s="62">
        <f t="shared" ref="G30:G34" si="11">IF(OR(ISBLANK(D30),ISBLANK(E30)),0,E30-D30-F30)</f>
        <v>0.30208333333333337</v>
      </c>
      <c r="H30" s="151"/>
      <c r="I30" s="12">
        <f>IF((G30-C30)&lt;0,TEXT(C30-G30,"-[h]:mm"),G30-C30)</f>
        <v>5.5511151231257827E-17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thickBot="1" x14ac:dyDescent="0.3">
      <c r="A31" s="213"/>
      <c r="B31" s="95" t="s">
        <v>12</v>
      </c>
      <c r="C31" s="158">
        <v>0.29166666666666669</v>
      </c>
      <c r="D31" s="159">
        <v>0.39583333333333331</v>
      </c>
      <c r="E31" s="159">
        <v>0.70833333333333337</v>
      </c>
      <c r="F31" s="160">
        <v>2.0833333333333332E-2</v>
      </c>
      <c r="G31" s="62">
        <f t="shared" si="11"/>
        <v>0.29166666666666674</v>
      </c>
      <c r="H31" s="151" t="s">
        <v>50</v>
      </c>
      <c r="I31" s="12">
        <f>IF((G31-C31)&lt;0,TEXT(C31-G31,"-[h]:mm"),G31-C31)</f>
        <v>5.5511151231257827E-17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thickBot="1" x14ac:dyDescent="0.3">
      <c r="A32" s="141" t="s">
        <v>45</v>
      </c>
      <c r="B32" s="95" t="s">
        <v>1</v>
      </c>
      <c r="C32" s="158">
        <v>0.35416666666666669</v>
      </c>
      <c r="D32" s="159">
        <v>0.29166666666666669</v>
      </c>
      <c r="E32" s="159">
        <v>0.66666666666666663</v>
      </c>
      <c r="F32" s="160">
        <v>2.0833333333333332E-2</v>
      </c>
      <c r="G32" s="62">
        <f t="shared" si="11"/>
        <v>0.35416666666666663</v>
      </c>
      <c r="H32" s="151"/>
      <c r="I32" s="12" t="str">
        <f>IF((G32-C32)&lt;0,TEXT(C32-G32,"-[h]:mm"),G32-C32)</f>
        <v>-0:00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45712</v>
      </c>
      <c r="B33" s="95" t="s">
        <v>2</v>
      </c>
      <c r="C33" s="158">
        <v>0.30208333333333331</v>
      </c>
      <c r="D33" s="159">
        <v>0.38541666666666669</v>
      </c>
      <c r="E33" s="159">
        <v>0.70833333333333337</v>
      </c>
      <c r="F33" s="160">
        <v>2.0833333333333332E-2</v>
      </c>
      <c r="G33" s="62">
        <f t="shared" si="11"/>
        <v>0.30208333333333337</v>
      </c>
      <c r="H33" s="151" t="s">
        <v>50</v>
      </c>
      <c r="I33" s="12">
        <f t="shared" ref="I33:I34" si="12">IF((G33-C33)&lt;0,TEXT(C33-G33,"-[hh]:mm"),G33-C33)</f>
        <v>5.5511151231257827E-17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8</v>
      </c>
      <c r="B35" s="104" t="s">
        <v>10</v>
      </c>
      <c r="C35" s="73">
        <f>SUM(C29:C34)</f>
        <v>1.5125</v>
      </c>
      <c r="D35" s="74"/>
      <c r="E35" s="74"/>
      <c r="F35" s="91">
        <f>SUM(F29:F34)</f>
        <v>0.10416666666666666</v>
      </c>
      <c r="G35" s="71">
        <f>SUM(G29:G34)</f>
        <v>1.5125000000000002</v>
      </c>
      <c r="H35" s="153"/>
      <c r="I35" s="92">
        <f>IF((G35-C35+J35)&lt;0,TEXT(C35-G35-J35,"-[h]:mm"),G35-C35+J35)</f>
        <v>2.2204460492503131E-16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1.0875000000000017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6.05</v>
      </c>
      <c r="D36" s="23"/>
      <c r="E36" s="23"/>
      <c r="F36" s="23"/>
      <c r="G36" s="6">
        <f>G14+G21+G28+G35</f>
        <v>6.0500000000000007</v>
      </c>
      <c r="H36" s="154"/>
      <c r="I36" s="14">
        <f>IF((G36-C36+J36)&lt;0,TEXT(C36-G36-J36,"-[h]:mm"),G36-C36+J36)</f>
        <v>8.8817841970012523E-16</v>
      </c>
      <c r="J36" s="35">
        <f>J14+J21+J28+J35</f>
        <v>0</v>
      </c>
      <c r="K36" s="35">
        <f>K35</f>
        <v>1.0875000000000017</v>
      </c>
      <c r="L36" s="24"/>
      <c r="M36" s="25"/>
      <c r="N36" s="189" t="s">
        <v>27</v>
      </c>
      <c r="O36" s="190"/>
      <c r="P36" s="191"/>
      <c r="Q36" s="187">
        <f>K36</f>
        <v>1.0875000000000017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2.2204460492503131E-16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+GqwRK7QMpUlNmcDo3sMA4OzvKYIIHwDS6Aian7/rA4nERg5CRmfsX7oFSGiRWp8wtKgGGJtZn6VVH4+eDxMQw==" saltValue="+kNtf65mW8hGNzOf+3IT+g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2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22C697E-5AF7-4753-906D-F56332454AC1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pageSetUpPr fitToPage="1"/>
  </sheetPr>
  <dimension ref="A1:W41"/>
  <sheetViews>
    <sheetView topLeftCell="A17" zoomScale="125" zoomScaleNormal="100" zoomScaleSheetLayoutView="75" workbookViewId="0">
      <selection activeCell="J10" sqref="J10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05-08'!K36</f>
        <v>1.0875000000000017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05-08'!I35</f>
        <v>2.2204460492503131E-16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1.0875000000000017</v>
      </c>
      <c r="L6" s="51">
        <f>IF(LEFT(K14,1)="-",RIGHT(K14,LEN(K14)-1),K14)</f>
        <v>0.78541666666666843</v>
      </c>
      <c r="M6" s="51">
        <f>IF(LEFT(K21,1)="-",RIGHT(K21,LEN(K21)-1),K21)</f>
        <v>0.48333333333333517</v>
      </c>
      <c r="N6" s="51">
        <f>IF(LEFT(K28,1)="-",RIGHT(K28,LEN(K28)-1),K28)</f>
        <v>0.48333333333333539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158">
        <v>0.26250000000000001</v>
      </c>
      <c r="D8" s="159">
        <v>0.38541666666666669</v>
      </c>
      <c r="E8" s="159">
        <v>0.66874999999999996</v>
      </c>
      <c r="F8" s="160">
        <v>2.0833333333333332E-2</v>
      </c>
      <c r="G8" s="59">
        <f>IF(OR(ISBLANK(D8),ISBLANK(E8)),0,E8-D8-F8)</f>
        <v>0.26249999999999996</v>
      </c>
      <c r="H8" s="150"/>
      <c r="I8" s="11" t="str">
        <f>IF((G8-C8)&lt;0,TEXT(C8-G8,"-[h]:mm"),G8-C8)</f>
        <v>-0:00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45723</v>
      </c>
      <c r="B9" s="85" t="s">
        <v>11</v>
      </c>
      <c r="C9" s="158">
        <v>0.34375</v>
      </c>
      <c r="D9" s="159">
        <v>0.34375</v>
      </c>
      <c r="E9" s="159">
        <v>0.70833333333333337</v>
      </c>
      <c r="F9" s="160">
        <v>2.0833333333333332E-2</v>
      </c>
      <c r="G9" s="62">
        <f t="shared" ref="G9:G13" si="1">IF(OR(ISBLANK(D9),ISBLANK(E9)),0,E9-D9-F9)</f>
        <v>0.34375000000000006</v>
      </c>
      <c r="H9" s="151"/>
      <c r="I9" s="12">
        <f t="shared" ref="I9:I13" si="2">IF((G9-C9)&lt;0,TEXT(C9-G9,"-[h]:mm"),G9-C9)</f>
        <v>5.5511151231257827E-17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158">
        <v>0.29166666666666669</v>
      </c>
      <c r="D10" s="159">
        <v>0.39583333333333331</v>
      </c>
      <c r="E10" s="159">
        <v>0.70833333333333337</v>
      </c>
      <c r="F10" s="160">
        <v>2.0833333333333332E-2</v>
      </c>
      <c r="G10" s="62">
        <f t="shared" si="1"/>
        <v>0.29166666666666674</v>
      </c>
      <c r="H10" s="151"/>
      <c r="I10" s="12">
        <f t="shared" si="2"/>
        <v>5.5511151231257827E-17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158">
        <v>0.3125</v>
      </c>
      <c r="D11" s="159">
        <v>0.33333333333333331</v>
      </c>
      <c r="E11" s="159">
        <v>0.66666666666666663</v>
      </c>
      <c r="F11" s="160">
        <v>2.0833333333333332E-2</v>
      </c>
      <c r="G11" s="62">
        <f t="shared" si="1"/>
        <v>0.3125</v>
      </c>
      <c r="H11" s="151"/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05-08'!A30+3</f>
        <v>45719</v>
      </c>
      <c r="B12" s="85" t="s">
        <v>2</v>
      </c>
      <c r="C12" s="158">
        <v>0.30208333333333331</v>
      </c>
      <c r="D12" s="159">
        <v>0.38541666666666669</v>
      </c>
      <c r="E12" s="159"/>
      <c r="F12" s="160"/>
      <c r="G12" s="100">
        <f t="shared" si="1"/>
        <v>0</v>
      </c>
      <c r="H12" s="151"/>
      <c r="I12" s="12" t="str">
        <f t="shared" si="2"/>
        <v>-7:15</v>
      </c>
      <c r="J12" s="97"/>
      <c r="K12" s="102"/>
      <c r="L12" s="97"/>
      <c r="M12" s="103"/>
      <c r="N12" s="101">
        <f t="shared" si="0"/>
        <v>0</v>
      </c>
      <c r="O12" s="106"/>
      <c r="P12" s="107" t="s">
        <v>54</v>
      </c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05-08'!A35+1</f>
        <v>9</v>
      </c>
      <c r="B14" s="7" t="s">
        <v>10</v>
      </c>
      <c r="C14" s="73">
        <f>SUM(C8:C13)</f>
        <v>1.5125</v>
      </c>
      <c r="D14" s="69"/>
      <c r="E14" s="69"/>
      <c r="F14" s="91">
        <f>SUM(F8:F13)</f>
        <v>8.3333333333333329E-2</v>
      </c>
      <c r="G14" s="71">
        <f>SUM(G8:G13)</f>
        <v>1.2104166666666667</v>
      </c>
      <c r="H14" s="153"/>
      <c r="I14" s="92" t="str">
        <f>IF((G14-C14+J14)&lt;0,TEXT(C14-G14-J14,"-[h]:mm"),G14-C14+J14)</f>
        <v>-7:15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0.78541666666666843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thickBot="1" x14ac:dyDescent="0.3">
      <c r="A15" s="140"/>
      <c r="B15" s="84" t="s">
        <v>0</v>
      </c>
      <c r="C15" s="158">
        <v>0.26250000000000001</v>
      </c>
      <c r="D15" s="159">
        <v>0.38541666666666669</v>
      </c>
      <c r="E15" s="159">
        <v>0.66874999999999996</v>
      </c>
      <c r="F15" s="160">
        <v>2.0833333333333332E-2</v>
      </c>
      <c r="G15" s="59">
        <f>IF(OR(ISBLANK(D15),ISBLANK(E15)),0,E15-D15-F15)</f>
        <v>0.26249999999999996</v>
      </c>
      <c r="H15" s="150"/>
      <c r="I15" s="11" t="str">
        <f t="shared" ref="I15:I20" si="4">IF((G15-C15)&lt;0,TEXT(C15-G15,"-[h]:mm"),G15-C15)</f>
        <v>-0:00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thickBot="1" x14ac:dyDescent="0.3">
      <c r="A16" s="213">
        <f>A19+4</f>
        <v>45730</v>
      </c>
      <c r="B16" s="95" t="s">
        <v>11</v>
      </c>
      <c r="C16" s="158">
        <v>0.30208333333333331</v>
      </c>
      <c r="D16" s="159">
        <v>0.38541666666666669</v>
      </c>
      <c r="E16" s="159">
        <v>0.70833333333333337</v>
      </c>
      <c r="F16" s="160">
        <v>2.0833333333333332E-2</v>
      </c>
      <c r="G16" s="62">
        <f t="shared" ref="G16:G19" si="5">IF(OR(ISBLANK(D16),ISBLANK(E16)),0,E16-D16-F16)</f>
        <v>0.30208333333333337</v>
      </c>
      <c r="H16" s="151"/>
      <c r="I16" s="12">
        <f t="shared" si="4"/>
        <v>5.5511151231257827E-17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thickBot="1" x14ac:dyDescent="0.3">
      <c r="A17" s="213"/>
      <c r="B17" s="95" t="s">
        <v>12</v>
      </c>
      <c r="C17" s="158">
        <v>0.29166666666666669</v>
      </c>
      <c r="D17" s="159">
        <v>0.39583333333333331</v>
      </c>
      <c r="E17" s="159">
        <v>0.70833333333333337</v>
      </c>
      <c r="F17" s="160">
        <v>2.0833333333333332E-2</v>
      </c>
      <c r="G17" s="62">
        <f t="shared" si="5"/>
        <v>0.29166666666666674</v>
      </c>
      <c r="H17" s="151"/>
      <c r="I17" s="12">
        <f t="shared" si="4"/>
        <v>5.5511151231257827E-17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thickBot="1" x14ac:dyDescent="0.3">
      <c r="A18" s="141" t="s">
        <v>45</v>
      </c>
      <c r="B18" s="95" t="s">
        <v>1</v>
      </c>
      <c r="C18" s="158">
        <v>0.35416666666666669</v>
      </c>
      <c r="D18" s="159">
        <v>0.29166666666666669</v>
      </c>
      <c r="E18" s="159">
        <v>0.66666666666666663</v>
      </c>
      <c r="F18" s="160">
        <v>2.0833333333333332E-2</v>
      </c>
      <c r="G18" s="62">
        <f t="shared" si="5"/>
        <v>0.35416666666666663</v>
      </c>
      <c r="H18" s="151"/>
      <c r="I18" s="12" t="str">
        <f t="shared" si="4"/>
        <v>-0:00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45726</v>
      </c>
      <c r="B19" s="95" t="s">
        <v>2</v>
      </c>
      <c r="C19" s="158">
        <v>0.30208333333333331</v>
      </c>
      <c r="D19" s="159">
        <v>0.38541666666666669</v>
      </c>
      <c r="E19" s="159"/>
      <c r="F19" s="160"/>
      <c r="G19" s="62">
        <f t="shared" si="5"/>
        <v>0</v>
      </c>
      <c r="H19" s="151"/>
      <c r="I19" s="12" t="str">
        <f t="shared" si="4"/>
        <v>-7:15</v>
      </c>
      <c r="J19" s="61"/>
      <c r="K19" s="33"/>
      <c r="L19" s="61"/>
      <c r="M19" s="63"/>
      <c r="N19" s="12">
        <f t="shared" si="0"/>
        <v>0</v>
      </c>
      <c r="O19" s="2"/>
      <c r="P19" s="80" t="s">
        <v>54</v>
      </c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10</v>
      </c>
      <c r="B21" s="104" t="s">
        <v>10</v>
      </c>
      <c r="C21" s="105">
        <f>SUM(C15:C20)</f>
        <v>1.5125</v>
      </c>
      <c r="D21" s="74"/>
      <c r="E21" s="74"/>
      <c r="F21" s="91">
        <f>SUM(F15:F20)</f>
        <v>8.3333333333333329E-2</v>
      </c>
      <c r="G21" s="71">
        <f>SUM(G15:G20)</f>
        <v>1.2104166666666667</v>
      </c>
      <c r="H21" s="153"/>
      <c r="I21" s="92" t="str">
        <f>IF((G21-C21+J21)&lt;0,TEXT(C21-G21-J21,"-[h]:mm"),G21-C21+J21)</f>
        <v>-7:15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0.48333333333333517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thickBot="1" x14ac:dyDescent="0.3">
      <c r="A22" s="140"/>
      <c r="B22" s="84" t="s">
        <v>0</v>
      </c>
      <c r="C22" s="158">
        <v>0.26250000000000001</v>
      </c>
      <c r="D22" s="159">
        <v>0.38541666666666669</v>
      </c>
      <c r="E22" s="159">
        <v>0.66874999999999996</v>
      </c>
      <c r="F22" s="160">
        <v>2.0833333333333332E-2</v>
      </c>
      <c r="G22" s="59">
        <f>IF(OR(ISBLANK(D22),ISBLANK(E22)),0,E22-D22-F22)</f>
        <v>0.26249999999999996</v>
      </c>
      <c r="H22" s="150"/>
      <c r="I22" s="11" t="str">
        <f t="shared" ref="I22:I27" si="8">IF((G22-C22)&lt;0,TEXT(C22-G22,"-[h]:mm"),G22-C22)</f>
        <v>-0:00</v>
      </c>
      <c r="J22" s="56"/>
      <c r="K22" s="32"/>
      <c r="L22" s="56"/>
      <c r="M22" s="60"/>
      <c r="N22" s="11">
        <f t="shared" si="0"/>
        <v>0</v>
      </c>
      <c r="O22" s="1"/>
      <c r="P22" s="79"/>
      <c r="Q22" s="171"/>
      <c r="R22" s="172"/>
      <c r="U22" s="4"/>
      <c r="V22" s="4"/>
      <c r="W22" s="4"/>
    </row>
    <row r="23" spans="1:23" ht="26.7" customHeight="1" thickBot="1" x14ac:dyDescent="0.3">
      <c r="A23" s="213">
        <f>A26+4</f>
        <v>45737</v>
      </c>
      <c r="B23" s="95" t="s">
        <v>11</v>
      </c>
      <c r="C23" s="158">
        <v>0.30208333333333331</v>
      </c>
      <c r="D23" s="159">
        <v>0.38541666666666669</v>
      </c>
      <c r="E23" s="159">
        <v>0.70833333333333337</v>
      </c>
      <c r="F23" s="160">
        <v>2.0833333333333332E-2</v>
      </c>
      <c r="G23" s="62">
        <f t="shared" ref="G23:G27" si="9">IF(OR(ISBLANK(D23),ISBLANK(E23)),0,E23-D23-F23)</f>
        <v>0.30208333333333337</v>
      </c>
      <c r="H23" s="151"/>
      <c r="I23" s="12">
        <f t="shared" si="8"/>
        <v>5.5511151231257827E-17</v>
      </c>
      <c r="J23" s="61"/>
      <c r="K23" s="33"/>
      <c r="L23" s="61"/>
      <c r="M23" s="63"/>
      <c r="N23" s="12">
        <f t="shared" si="0"/>
        <v>0</v>
      </c>
      <c r="O23" s="2"/>
      <c r="P23" s="80"/>
      <c r="Q23" s="171"/>
      <c r="R23" s="172"/>
      <c r="U23" s="4"/>
      <c r="V23" s="4"/>
      <c r="W23" s="4"/>
    </row>
    <row r="24" spans="1:23" ht="26.7" customHeight="1" thickBot="1" x14ac:dyDescent="0.3">
      <c r="A24" s="213"/>
      <c r="B24" s="95" t="s">
        <v>12</v>
      </c>
      <c r="C24" s="158">
        <v>0.29166666666666669</v>
      </c>
      <c r="D24" s="159">
        <v>0.39583333333333331</v>
      </c>
      <c r="E24" s="159">
        <v>0.70833333333333337</v>
      </c>
      <c r="F24" s="160">
        <v>2.0833333333333332E-2</v>
      </c>
      <c r="G24" s="62">
        <f t="shared" si="9"/>
        <v>0.29166666666666674</v>
      </c>
      <c r="H24" s="151"/>
      <c r="I24" s="12">
        <f t="shared" si="8"/>
        <v>5.5511151231257827E-17</v>
      </c>
      <c r="J24" s="61"/>
      <c r="K24" s="33"/>
      <c r="L24" s="61"/>
      <c r="M24" s="63"/>
      <c r="N24" s="12">
        <f t="shared" si="0"/>
        <v>0</v>
      </c>
      <c r="O24" s="2"/>
      <c r="P24" s="80"/>
      <c r="Q24" s="171"/>
      <c r="R24" s="172"/>
      <c r="U24" s="4"/>
      <c r="V24" s="4"/>
      <c r="W24" s="4"/>
    </row>
    <row r="25" spans="1:23" ht="26.7" customHeight="1" thickBot="1" x14ac:dyDescent="0.3">
      <c r="A25" s="141" t="s">
        <v>45</v>
      </c>
      <c r="B25" s="95" t="s">
        <v>1</v>
      </c>
      <c r="C25" s="158">
        <v>0.35416666666666669</v>
      </c>
      <c r="D25" s="159">
        <v>0.29166666666666669</v>
      </c>
      <c r="E25" s="159">
        <v>0.66666666666666663</v>
      </c>
      <c r="F25" s="160">
        <v>2.0833333333333332E-2</v>
      </c>
      <c r="G25" s="62">
        <f t="shared" si="9"/>
        <v>0.35416666666666663</v>
      </c>
      <c r="H25" s="151"/>
      <c r="I25" s="12" t="str">
        <f t="shared" si="8"/>
        <v>-0:00</v>
      </c>
      <c r="J25" s="61"/>
      <c r="K25" s="33"/>
      <c r="L25" s="61"/>
      <c r="M25" s="63"/>
      <c r="N25" s="12">
        <f t="shared" si="0"/>
        <v>0</v>
      </c>
      <c r="O25" s="2"/>
      <c r="P25" s="80"/>
      <c r="Q25" s="171"/>
      <c r="R25" s="172"/>
      <c r="U25" s="4"/>
      <c r="V25" s="4"/>
      <c r="W25" s="4"/>
    </row>
    <row r="26" spans="1:23" ht="26.7" customHeight="1" x14ac:dyDescent="0.25">
      <c r="A26" s="212">
        <f>A16+3</f>
        <v>45733</v>
      </c>
      <c r="B26" s="95" t="s">
        <v>2</v>
      </c>
      <c r="C26" s="158">
        <v>0.30208333333333331</v>
      </c>
      <c r="D26" s="159">
        <v>0.38541666666666669</v>
      </c>
      <c r="E26" s="159">
        <v>0.70833333333333337</v>
      </c>
      <c r="F26" s="160">
        <v>2.0833333333333332E-2</v>
      </c>
      <c r="G26" s="62">
        <f t="shared" si="9"/>
        <v>0.30208333333333337</v>
      </c>
      <c r="H26" s="151"/>
      <c r="I26" s="12">
        <f t="shared" si="8"/>
        <v>5.5511151231257827E-17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11</v>
      </c>
      <c r="B28" s="104" t="s">
        <v>10</v>
      </c>
      <c r="C28" s="105">
        <f>SUM(C22:C27)</f>
        <v>1.5125</v>
      </c>
      <c r="D28" s="74"/>
      <c r="E28" s="74"/>
      <c r="F28" s="91">
        <f>SUM(F22:F27)</f>
        <v>0.10416666666666666</v>
      </c>
      <c r="G28" s="71">
        <f>SUM(G22:G27)</f>
        <v>1.5125000000000002</v>
      </c>
      <c r="H28" s="153"/>
      <c r="I28" s="92">
        <f>IF((G28-C28+J28)&lt;0,TEXT(C28-G28-J28,"-[h]:mm"),G28-C28+J28)</f>
        <v>2.2204460492503131E-16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0.48333333333333539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215"/>
      <c r="R28" s="216"/>
      <c r="S28" s="15"/>
    </row>
    <row r="29" spans="1:23" ht="26.7" customHeight="1" thickBot="1" x14ac:dyDescent="0.3">
      <c r="A29" s="140"/>
      <c r="B29" s="84" t="s">
        <v>0</v>
      </c>
      <c r="C29" s="158">
        <v>0.26250000000000001</v>
      </c>
      <c r="D29" s="159">
        <v>0.38541666666666669</v>
      </c>
      <c r="E29" s="159">
        <v>0.66874999999999996</v>
      </c>
      <c r="F29" s="160">
        <v>2.0833333333333332E-2</v>
      </c>
      <c r="G29" s="59">
        <f>IF(OR(ISBLANK(D29),ISBLANK(E29)),0,E29-D29-F29)</f>
        <v>0.26249999999999996</v>
      </c>
      <c r="H29" s="150"/>
      <c r="I29" s="11" t="str">
        <f>IF((G29-C29)&lt;0,TEXT(C29-G29,"-[h]:mm"),G29-C29)</f>
        <v>-0:00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thickBot="1" x14ac:dyDescent="0.3">
      <c r="A30" s="213">
        <f>A33+4</f>
        <v>45744</v>
      </c>
      <c r="B30" s="95" t="s">
        <v>11</v>
      </c>
      <c r="C30" s="158">
        <v>0.30208333333333331</v>
      </c>
      <c r="D30" s="159">
        <v>0.38541666666666669</v>
      </c>
      <c r="E30" s="159">
        <v>0.70833333333333337</v>
      </c>
      <c r="F30" s="160">
        <v>2.0833333333333332E-2</v>
      </c>
      <c r="G30" s="62">
        <f t="shared" ref="G30:G34" si="11">IF(OR(ISBLANK(D30),ISBLANK(E30)),0,E30-D30-F30)</f>
        <v>0.30208333333333337</v>
      </c>
      <c r="H30" s="151"/>
      <c r="I30" s="12">
        <f>IF((G30-C30)&lt;0,TEXT(C30-G30,"-[h]:mm"),G30-C30)</f>
        <v>5.5511151231257827E-17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thickBot="1" x14ac:dyDescent="0.3">
      <c r="A31" s="213"/>
      <c r="B31" s="95" t="s">
        <v>12</v>
      </c>
      <c r="C31" s="158">
        <v>0.29166666666666669</v>
      </c>
      <c r="D31" s="159">
        <v>0.39583333333333331</v>
      </c>
      <c r="E31" s="159">
        <v>0.70833333333333337</v>
      </c>
      <c r="F31" s="160">
        <v>2.0833333333333332E-2</v>
      </c>
      <c r="G31" s="62">
        <f t="shared" si="11"/>
        <v>0.29166666666666674</v>
      </c>
      <c r="H31" s="151"/>
      <c r="I31" s="12">
        <f>IF((G31-C31)&lt;0,TEXT(C31-G31,"-[h]:mm"),G31-C31)</f>
        <v>5.5511151231257827E-17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thickBot="1" x14ac:dyDescent="0.3">
      <c r="A32" s="141" t="s">
        <v>45</v>
      </c>
      <c r="B32" s="95" t="s">
        <v>1</v>
      </c>
      <c r="C32" s="158">
        <v>0.35416666666666669</v>
      </c>
      <c r="D32" s="159">
        <v>0.29166666666666669</v>
      </c>
      <c r="E32" s="159">
        <v>0.66666666666666663</v>
      </c>
      <c r="F32" s="160">
        <v>2.0833333333333332E-2</v>
      </c>
      <c r="G32" s="62">
        <f t="shared" si="11"/>
        <v>0.35416666666666663</v>
      </c>
      <c r="H32" s="151" t="s">
        <v>50</v>
      </c>
      <c r="I32" s="12" t="str">
        <f>IF((G32-C32)&lt;0,TEXT(C32-G32,"-[h]:mm"),G32-C32)</f>
        <v>-0:00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45740</v>
      </c>
      <c r="B33" s="95" t="s">
        <v>2</v>
      </c>
      <c r="C33" s="158">
        <v>0.30208333333333331</v>
      </c>
      <c r="D33" s="159">
        <v>0.38541666666666669</v>
      </c>
      <c r="E33" s="159">
        <v>0.70833333333333337</v>
      </c>
      <c r="F33" s="160">
        <v>2.0833333333333332E-2</v>
      </c>
      <c r="G33" s="62">
        <f t="shared" si="11"/>
        <v>0.30208333333333337</v>
      </c>
      <c r="H33" s="151"/>
      <c r="I33" s="12">
        <f t="shared" ref="I33:I34" si="12">IF((G33-C33)&lt;0,TEXT(C33-G33,"-[hh]:mm"),G33-C33)</f>
        <v>5.5511151231257827E-17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12</v>
      </c>
      <c r="B35" s="104" t="s">
        <v>10</v>
      </c>
      <c r="C35" s="73">
        <f>SUM(C29:C34)</f>
        <v>1.5125</v>
      </c>
      <c r="D35" s="74"/>
      <c r="E35" s="74"/>
      <c r="F35" s="91">
        <f>SUM(F29:F34)</f>
        <v>0.10416666666666666</v>
      </c>
      <c r="G35" s="71">
        <f>SUM(G29:G34)</f>
        <v>1.5125000000000002</v>
      </c>
      <c r="H35" s="153"/>
      <c r="I35" s="92">
        <f>IF((G35-C35+J35)&lt;0,TEXT(C35-G35-J35,"-[h]:mm"),G35-C35+J35)</f>
        <v>2.2204460492503131E-16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0.48333333333333561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6.05</v>
      </c>
      <c r="D36" s="23"/>
      <c r="E36" s="23"/>
      <c r="F36" s="23"/>
      <c r="G36" s="6">
        <f>G14+G21+G28+G35</f>
        <v>5.4458333333333337</v>
      </c>
      <c r="H36" s="154"/>
      <c r="I36" s="14" t="str">
        <f>IF((G36-C36+J36)&lt;0,TEXT(C36-G36-J36,"-[h]:mm"),G36-C36+J36)</f>
        <v>-14:30</v>
      </c>
      <c r="J36" s="35">
        <f>J14+J21+J28+J35</f>
        <v>0</v>
      </c>
      <c r="K36" s="35">
        <f>K35</f>
        <v>0.48333333333333561</v>
      </c>
      <c r="L36" s="24"/>
      <c r="M36" s="25"/>
      <c r="N36" s="189" t="s">
        <v>27</v>
      </c>
      <c r="O36" s="190"/>
      <c r="P36" s="191"/>
      <c r="Q36" s="187">
        <f>K36</f>
        <v>0.48333333333333561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2.2204460492503131E-16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gIn3YJiAiZZJ0ZDGybTX5UoIl2RMKTs37ajNLT/83B1PO7R/q6nbdSW/p9oSeW/vz/S00WvD4runreH7Cz15JA==" saltValue="HhJYwXxAUhTMmSd73U5+Dg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3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0560D13-A5DB-4531-937B-A39035783AB7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pageSetUpPr fitToPage="1"/>
  </sheetPr>
  <dimension ref="A1:W41"/>
  <sheetViews>
    <sheetView topLeftCell="A8" zoomScale="130" zoomScaleNormal="130" zoomScaleSheetLayoutView="75" workbookViewId="0">
      <selection activeCell="C15" sqref="C15:F19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09-12'!K36</f>
        <v>0.48333333333333561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09-12'!I35</f>
        <v>2.2204460492503131E-16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0.48333333333333561</v>
      </c>
      <c r="L6" s="51">
        <f>IF(LEFT(K14,1)="-",RIGHT(K14,LEN(K14)-1),K14)</f>
        <v>0.48333333333333584</v>
      </c>
      <c r="M6" s="51">
        <f>IF(LEFT(K21,1)="-",RIGHT(K21,LEN(K21)-1),K21)</f>
        <v>0.48333333333333606</v>
      </c>
      <c r="N6" s="51">
        <f>IF(LEFT(K28,1)="-",RIGHT(K28,LEN(K28)-1),K28)</f>
        <v>0.48333333333333628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56">
        <v>0.26250000000000001</v>
      </c>
      <c r="D8" s="57">
        <v>0.38541666666666669</v>
      </c>
      <c r="E8" s="57">
        <v>0.66874999999999996</v>
      </c>
      <c r="F8" s="58">
        <v>2.0833333333333332E-2</v>
      </c>
      <c r="G8" s="59">
        <f>IF(OR(ISBLANK(D8),ISBLANK(E8)),0,E8-D8-F8)</f>
        <v>0.26249999999999996</v>
      </c>
      <c r="H8" s="150" t="s">
        <v>50</v>
      </c>
      <c r="I8" s="11" t="str">
        <f>IF((G8-C8)&lt;0,TEXT(C8-G8,"-[h]:mm"),G8-C8)</f>
        <v>-0:00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45751</v>
      </c>
      <c r="B9" s="85" t="s">
        <v>11</v>
      </c>
      <c r="C9" s="56">
        <v>0.30208333333333331</v>
      </c>
      <c r="D9" s="57">
        <v>0.38541666666666669</v>
      </c>
      <c r="E9" s="57">
        <v>0.70833333333333337</v>
      </c>
      <c r="F9" s="58">
        <v>2.0833333333333332E-2</v>
      </c>
      <c r="G9" s="62">
        <f t="shared" ref="G9:G13" si="1">IF(OR(ISBLANK(D9),ISBLANK(E9)),0,E9-D9-F9)</f>
        <v>0.30208333333333337</v>
      </c>
      <c r="H9" s="151"/>
      <c r="I9" s="12">
        <f t="shared" ref="I9:I13" si="2">IF((G9-C9)&lt;0,TEXT(C9-G9,"-[h]:mm"),G9-C9)</f>
        <v>5.5511151231257827E-17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56">
        <v>0.29166666666666669</v>
      </c>
      <c r="D10" s="57">
        <v>0.39583333333333331</v>
      </c>
      <c r="E10" s="57">
        <v>0.70833333333333337</v>
      </c>
      <c r="F10" s="58">
        <v>2.0833333333333332E-2</v>
      </c>
      <c r="G10" s="62">
        <f t="shared" si="1"/>
        <v>0.29166666666666674</v>
      </c>
      <c r="H10" s="151"/>
      <c r="I10" s="12">
        <f t="shared" si="2"/>
        <v>5.5511151231257827E-17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56">
        <v>0.35416666666666669</v>
      </c>
      <c r="D11" s="57">
        <v>0.29166666666666669</v>
      </c>
      <c r="E11" s="57">
        <v>0.66666666666666663</v>
      </c>
      <c r="F11" s="58">
        <v>2.0833333333333332E-2</v>
      </c>
      <c r="G11" s="62">
        <f t="shared" si="1"/>
        <v>0.35416666666666663</v>
      </c>
      <c r="H11" s="151"/>
      <c r="I11" s="12" t="str">
        <f t="shared" si="2"/>
        <v>-0:00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09-12'!A30+3</f>
        <v>45747</v>
      </c>
      <c r="B12" s="85" t="s">
        <v>2</v>
      </c>
      <c r="C12" s="56">
        <v>0.30208333333333331</v>
      </c>
      <c r="D12" s="57">
        <v>0.38541666666666669</v>
      </c>
      <c r="E12" s="57">
        <v>0.70833333333333337</v>
      </c>
      <c r="F12" s="58">
        <v>2.0833333333333332E-2</v>
      </c>
      <c r="G12" s="100">
        <f t="shared" si="1"/>
        <v>0.30208333333333337</v>
      </c>
      <c r="H12" s="151"/>
      <c r="I12" s="12">
        <f t="shared" si="2"/>
        <v>5.5511151231257827E-17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09-12'!A35+1</f>
        <v>13</v>
      </c>
      <c r="B14" s="7" t="s">
        <v>10</v>
      </c>
      <c r="C14" s="73">
        <f>SUM(C8:C13)</f>
        <v>1.5125</v>
      </c>
      <c r="D14" s="69"/>
      <c r="E14" s="69"/>
      <c r="F14" s="91">
        <f>SUM(F8:F13)</f>
        <v>0.10416666666666666</v>
      </c>
      <c r="G14" s="71">
        <f>SUM(G8:G13)</f>
        <v>1.5125000000000002</v>
      </c>
      <c r="H14" s="153"/>
      <c r="I14" s="92">
        <f>IF((G14-C14+J14)&lt;0,TEXT(C14-G14-J14,"-[h]:mm"),G14-C14+J14)</f>
        <v>2.2204460492503131E-16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0.48333333333333584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x14ac:dyDescent="0.25">
      <c r="A15" s="140"/>
      <c r="B15" s="84" t="s">
        <v>0</v>
      </c>
      <c r="C15" s="56">
        <v>0.26250000000000001</v>
      </c>
      <c r="D15" s="57">
        <v>0.38541666666666669</v>
      </c>
      <c r="E15" s="57">
        <v>0.66874999999999996</v>
      </c>
      <c r="F15" s="58">
        <v>2.0833333333333332E-2</v>
      </c>
      <c r="G15" s="59">
        <f>IF(OR(ISBLANK(D15),ISBLANK(E15)),0,E15-D15-F15)</f>
        <v>0.26249999999999996</v>
      </c>
      <c r="H15" s="150" t="s">
        <v>50</v>
      </c>
      <c r="I15" s="11" t="str">
        <f t="shared" ref="I15:I20" si="4">IF((G15-C15)&lt;0,TEXT(C15-G15,"-[h]:mm"),G15-C15)</f>
        <v>-0:00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x14ac:dyDescent="0.25">
      <c r="A16" s="213">
        <f>A19+4</f>
        <v>45758</v>
      </c>
      <c r="B16" s="95" t="s">
        <v>11</v>
      </c>
      <c r="C16" s="61">
        <v>0.30208333333333331</v>
      </c>
      <c r="D16" s="108">
        <v>0.38541666666666669</v>
      </c>
      <c r="E16" s="108">
        <v>0.70833333333333337</v>
      </c>
      <c r="F16" s="109">
        <v>2.0833333333333332E-2</v>
      </c>
      <c r="G16" s="62">
        <f t="shared" ref="G16:G19" si="5">IF(OR(ISBLANK(D16),ISBLANK(E16)),0,E16-D16-F16)</f>
        <v>0.30208333333333337</v>
      </c>
      <c r="H16" s="151" t="s">
        <v>50</v>
      </c>
      <c r="I16" s="12">
        <f t="shared" si="4"/>
        <v>5.5511151231257827E-17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x14ac:dyDescent="0.25">
      <c r="A17" s="213"/>
      <c r="B17" s="95" t="s">
        <v>12</v>
      </c>
      <c r="C17" s="61">
        <v>0.29166666666666669</v>
      </c>
      <c r="D17" s="108">
        <v>0.39583333333333331</v>
      </c>
      <c r="E17" s="108">
        <v>0.70833333333333337</v>
      </c>
      <c r="F17" s="109">
        <v>2.0833333333333332E-2</v>
      </c>
      <c r="G17" s="62">
        <f t="shared" si="5"/>
        <v>0.29166666666666674</v>
      </c>
      <c r="H17" s="151"/>
      <c r="I17" s="12">
        <f t="shared" si="4"/>
        <v>5.5511151231257827E-17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x14ac:dyDescent="0.25">
      <c r="A18" s="141" t="s">
        <v>45</v>
      </c>
      <c r="B18" s="95" t="s">
        <v>1</v>
      </c>
      <c r="C18" s="61">
        <v>0.35416666666666669</v>
      </c>
      <c r="D18" s="108">
        <v>0.29166666666666669</v>
      </c>
      <c r="E18" s="108">
        <v>0.66666666666666663</v>
      </c>
      <c r="F18" s="109">
        <v>2.0833333333333332E-2</v>
      </c>
      <c r="G18" s="62">
        <f t="shared" si="5"/>
        <v>0.35416666666666663</v>
      </c>
      <c r="H18" s="151"/>
      <c r="I18" s="12" t="str">
        <f t="shared" si="4"/>
        <v>-0:00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45754</v>
      </c>
      <c r="B19" s="95" t="s">
        <v>2</v>
      </c>
      <c r="C19" s="97">
        <v>0.30208333333333331</v>
      </c>
      <c r="D19" s="98">
        <v>0.38541666666666669</v>
      </c>
      <c r="E19" s="98">
        <v>0.70833333333333337</v>
      </c>
      <c r="F19" s="99">
        <v>2.0833333333333332E-2</v>
      </c>
      <c r="G19" s="62">
        <f t="shared" si="5"/>
        <v>0.30208333333333337</v>
      </c>
      <c r="H19" s="151" t="s">
        <v>50</v>
      </c>
      <c r="I19" s="12">
        <f t="shared" si="4"/>
        <v>5.5511151231257827E-17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14</v>
      </c>
      <c r="B21" s="104" t="s">
        <v>10</v>
      </c>
      <c r="C21" s="105">
        <f>SUM(C15:C20)</f>
        <v>1.5125</v>
      </c>
      <c r="D21" s="74"/>
      <c r="E21" s="74"/>
      <c r="F21" s="91">
        <f>SUM(F15:F20)</f>
        <v>0.10416666666666666</v>
      </c>
      <c r="G21" s="71">
        <f>SUM(G15:G20)</f>
        <v>1.5125000000000002</v>
      </c>
      <c r="H21" s="153"/>
      <c r="I21" s="92">
        <f>IF((G21-C21+J21)&lt;0,TEXT(C21-G21-J21,"-[h]:mm"),G21-C21+J21)</f>
        <v>2.2204460492503131E-16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0.48333333333333606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thickBot="1" x14ac:dyDescent="0.3">
      <c r="A22" s="140"/>
      <c r="B22" s="84" t="s">
        <v>0</v>
      </c>
      <c r="C22" s="158">
        <v>0.30416666666666664</v>
      </c>
      <c r="D22" s="159">
        <v>0.34375</v>
      </c>
      <c r="E22" s="159">
        <v>0.66874999999999996</v>
      </c>
      <c r="F22" s="160">
        <v>2.0833333333333332E-2</v>
      </c>
      <c r="G22" s="59">
        <f>IF(OR(ISBLANK(D22),ISBLANK(E22)),0,E22-D22-F22)</f>
        <v>0.30416666666666664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1"/>
      <c r="R22" s="172"/>
      <c r="U22" s="4"/>
      <c r="V22" s="4"/>
      <c r="W22" s="4"/>
    </row>
    <row r="23" spans="1:23" ht="26.7" customHeight="1" thickBot="1" x14ac:dyDescent="0.3">
      <c r="A23" s="213">
        <f>A26+4</f>
        <v>45765</v>
      </c>
      <c r="B23" s="95" t="s">
        <v>11</v>
      </c>
      <c r="C23" s="158">
        <v>0.30208333333333331</v>
      </c>
      <c r="D23" s="159">
        <v>0.38541666666666669</v>
      </c>
      <c r="E23" s="159">
        <v>0.70833333333333337</v>
      </c>
      <c r="F23" s="160">
        <v>2.0833333333333332E-2</v>
      </c>
      <c r="G23" s="62">
        <f t="shared" ref="G23:G27" si="9">IF(OR(ISBLANK(D23),ISBLANK(E23)),0,E23-D23-F23)</f>
        <v>0.30208333333333337</v>
      </c>
      <c r="H23" s="151"/>
      <c r="I23" s="12">
        <f t="shared" si="8"/>
        <v>5.5511151231257827E-17</v>
      </c>
      <c r="J23" s="61"/>
      <c r="K23" s="33"/>
      <c r="L23" s="61"/>
      <c r="M23" s="63"/>
      <c r="N23" s="12">
        <f t="shared" si="0"/>
        <v>0</v>
      </c>
      <c r="O23" s="2"/>
      <c r="P23" s="80"/>
      <c r="Q23" s="171"/>
      <c r="R23" s="172"/>
      <c r="U23" s="4"/>
      <c r="V23" s="4"/>
      <c r="W23" s="4"/>
    </row>
    <row r="24" spans="1:23" ht="26.7" customHeight="1" thickBot="1" x14ac:dyDescent="0.3">
      <c r="A24" s="213"/>
      <c r="B24" s="95" t="s">
        <v>12</v>
      </c>
      <c r="C24" s="158">
        <v>0.29166666666666669</v>
      </c>
      <c r="D24" s="159">
        <v>0.39583333333333331</v>
      </c>
      <c r="E24" s="159">
        <v>0.70833333333333337</v>
      </c>
      <c r="F24" s="160">
        <v>2.0833333333333332E-2</v>
      </c>
      <c r="G24" s="62">
        <f t="shared" si="9"/>
        <v>0.29166666666666674</v>
      </c>
      <c r="H24" s="151"/>
      <c r="I24" s="12">
        <f t="shared" si="8"/>
        <v>5.5511151231257827E-17</v>
      </c>
      <c r="J24" s="61"/>
      <c r="K24" s="33"/>
      <c r="L24" s="61"/>
      <c r="M24" s="63"/>
      <c r="N24" s="12">
        <f t="shared" si="0"/>
        <v>0</v>
      </c>
      <c r="O24" s="2"/>
      <c r="P24" s="80"/>
      <c r="Q24" s="171"/>
      <c r="R24" s="172"/>
      <c r="U24" s="4"/>
      <c r="V24" s="4"/>
      <c r="W24" s="4"/>
    </row>
    <row r="25" spans="1:23" ht="26.7" customHeight="1" thickBot="1" x14ac:dyDescent="0.3">
      <c r="A25" s="141" t="s">
        <v>45</v>
      </c>
      <c r="B25" s="95" t="s">
        <v>1</v>
      </c>
      <c r="C25" s="158">
        <v>0.3125</v>
      </c>
      <c r="D25" s="159">
        <v>0.33333333333333331</v>
      </c>
      <c r="E25" s="159">
        <v>0.66666666666666663</v>
      </c>
      <c r="F25" s="160">
        <v>2.0833333333333332E-2</v>
      </c>
      <c r="G25" s="62">
        <f t="shared" si="9"/>
        <v>0.3125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1"/>
      <c r="R25" s="172"/>
      <c r="U25" s="4"/>
      <c r="V25" s="4"/>
      <c r="W25" s="4"/>
    </row>
    <row r="26" spans="1:23" ht="26.7" customHeight="1" x14ac:dyDescent="0.25">
      <c r="A26" s="212">
        <f>A16+3</f>
        <v>45761</v>
      </c>
      <c r="B26" s="95" t="s">
        <v>2</v>
      </c>
      <c r="C26" s="158">
        <v>0.30208333333333331</v>
      </c>
      <c r="D26" s="159">
        <v>0.38541666666666669</v>
      </c>
      <c r="E26" s="159">
        <v>0.70833333333333337</v>
      </c>
      <c r="F26" s="160">
        <v>2.0833333333333332E-2</v>
      </c>
      <c r="G26" s="62">
        <f t="shared" si="9"/>
        <v>0.30208333333333337</v>
      </c>
      <c r="H26" s="151"/>
      <c r="I26" s="12">
        <f t="shared" si="8"/>
        <v>5.5511151231257827E-17</v>
      </c>
      <c r="J26" s="61"/>
      <c r="K26" s="33"/>
      <c r="L26" s="61"/>
      <c r="M26" s="63"/>
      <c r="N26" s="12">
        <f t="shared" si="0"/>
        <v>0</v>
      </c>
      <c r="O26" s="2"/>
      <c r="P26" s="80" t="s">
        <v>55</v>
      </c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15</v>
      </c>
      <c r="B28" s="104" t="s">
        <v>10</v>
      </c>
      <c r="C28" s="105">
        <f>SUM(C22:C27)</f>
        <v>1.5125</v>
      </c>
      <c r="D28" s="74"/>
      <c r="E28" s="74"/>
      <c r="F28" s="91">
        <f>SUM(F22:F27)</f>
        <v>0.10416666666666666</v>
      </c>
      <c r="G28" s="71">
        <f>SUM(G22:G27)</f>
        <v>1.5125000000000002</v>
      </c>
      <c r="H28" s="153"/>
      <c r="I28" s="92">
        <f>IF((G28-C28+J28)&lt;0,TEXT(C28-G28-J28,"-[h]:mm"),G28-C28+J28)</f>
        <v>2.2204460492503131E-16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0.48333333333333628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215"/>
      <c r="R28" s="216"/>
      <c r="S28" s="15"/>
    </row>
    <row r="29" spans="1:23" ht="26.7" customHeight="1" thickBot="1" x14ac:dyDescent="0.3">
      <c r="A29" s="140"/>
      <c r="B29" s="84" t="s">
        <v>0</v>
      </c>
      <c r="C29" s="158">
        <v>0.30416666666666664</v>
      </c>
      <c r="D29" s="159">
        <v>0.34375</v>
      </c>
      <c r="E29" s="159">
        <v>0.66874999999999996</v>
      </c>
      <c r="F29" s="160">
        <v>2.0833333333333332E-2</v>
      </c>
      <c r="G29" s="59">
        <f>IF(OR(ISBLANK(D29),ISBLANK(E29)),0,E29-D29-F29)</f>
        <v>0.30416666666666664</v>
      </c>
      <c r="H29" s="150"/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 t="s">
        <v>55</v>
      </c>
      <c r="Q29" s="175"/>
      <c r="R29" s="176"/>
    </row>
    <row r="30" spans="1:23" ht="26.7" customHeight="1" thickBot="1" x14ac:dyDescent="0.3">
      <c r="A30" s="213">
        <f>A33+4</f>
        <v>45772</v>
      </c>
      <c r="B30" s="95" t="s">
        <v>11</v>
      </c>
      <c r="C30" s="158">
        <v>0.30208333333333331</v>
      </c>
      <c r="D30" s="159">
        <v>0.38541666666666669</v>
      </c>
      <c r="E30" s="159">
        <v>0.70833333333333337</v>
      </c>
      <c r="F30" s="160">
        <v>2.0833333333333332E-2</v>
      </c>
      <c r="G30" s="62">
        <f t="shared" ref="G30:G34" si="11">IF(OR(ISBLANK(D30),ISBLANK(E30)),0,E30-D30-F30)</f>
        <v>0.30208333333333337</v>
      </c>
      <c r="H30" s="151"/>
      <c r="I30" s="12">
        <f>IF((G30-C30)&lt;0,TEXT(C30-G30,"-[h]:mm"),G30-C30)</f>
        <v>5.5511151231257827E-17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thickBot="1" x14ac:dyDescent="0.3">
      <c r="A31" s="213"/>
      <c r="B31" s="95" t="s">
        <v>12</v>
      </c>
      <c r="C31" s="158">
        <v>0.29166666666666669</v>
      </c>
      <c r="D31" s="159">
        <v>0.39583333333333331</v>
      </c>
      <c r="E31" s="159">
        <v>0.70833333333333337</v>
      </c>
      <c r="F31" s="160">
        <v>2.0833333333333332E-2</v>
      </c>
      <c r="G31" s="62">
        <f t="shared" si="11"/>
        <v>0.29166666666666674</v>
      </c>
      <c r="H31" s="151"/>
      <c r="I31" s="12">
        <f>IF((G31-C31)&lt;0,TEXT(C31-G31,"-[h]:mm"),G31-C31)</f>
        <v>5.5511151231257827E-17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thickBot="1" x14ac:dyDescent="0.3">
      <c r="A32" s="141" t="s">
        <v>45</v>
      </c>
      <c r="B32" s="95" t="s">
        <v>1</v>
      </c>
      <c r="C32" s="158">
        <v>0.3125</v>
      </c>
      <c r="D32" s="159">
        <v>0.33333333333333331</v>
      </c>
      <c r="E32" s="159">
        <v>0.66666666666666663</v>
      </c>
      <c r="F32" s="160">
        <v>2.0833333333333332E-2</v>
      </c>
      <c r="G32" s="62">
        <f t="shared" si="11"/>
        <v>0.3125</v>
      </c>
      <c r="H32" s="151"/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45768</v>
      </c>
      <c r="B33" s="95" t="s">
        <v>2</v>
      </c>
      <c r="C33" s="158">
        <v>0.30208333333333331</v>
      </c>
      <c r="D33" s="159">
        <v>0.38541666666666669</v>
      </c>
      <c r="E33" s="159">
        <v>0.70833333333333337</v>
      </c>
      <c r="F33" s="160">
        <v>2.0833333333333332E-2</v>
      </c>
      <c r="G33" s="62">
        <f t="shared" si="11"/>
        <v>0.30208333333333337</v>
      </c>
      <c r="H33" s="151"/>
      <c r="I33" s="12">
        <f t="shared" ref="I33:I34" si="12">IF((G33-C33)&lt;0,TEXT(C33-G33,"-[hh]:mm"),G33-C33)</f>
        <v>5.5511151231257827E-17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16</v>
      </c>
      <c r="B35" s="104" t="s">
        <v>10</v>
      </c>
      <c r="C35" s="73">
        <f>SUM(C29:C34)</f>
        <v>1.5125</v>
      </c>
      <c r="D35" s="74"/>
      <c r="E35" s="74"/>
      <c r="F35" s="91">
        <f>SUM(F29:F34)</f>
        <v>0.10416666666666666</v>
      </c>
      <c r="G35" s="71">
        <f>SUM(G29:G34)</f>
        <v>1.5125000000000002</v>
      </c>
      <c r="H35" s="153"/>
      <c r="I35" s="92">
        <f>IF((G35-C35+J35)&lt;0,TEXT(C35-G35-J35,"-[h]:mm"),G35-C35+J35)</f>
        <v>2.2204460492503131E-16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0.4833333333333365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6.05</v>
      </c>
      <c r="D36" s="23"/>
      <c r="E36" s="23"/>
      <c r="F36" s="23"/>
      <c r="G36" s="6">
        <f>G14+G21+G28+G35</f>
        <v>6.0500000000000007</v>
      </c>
      <c r="H36" s="154"/>
      <c r="I36" s="14">
        <f>IF((G36-C36+J36)&lt;0,TEXT(C36-G36-J36,"-[h]:mm"),G36-C36+J36)</f>
        <v>8.8817841970012523E-16</v>
      </c>
      <c r="J36" s="35">
        <f>J14+J21+J28+J35</f>
        <v>0</v>
      </c>
      <c r="K36" s="35">
        <f>K35</f>
        <v>0.4833333333333365</v>
      </c>
      <c r="L36" s="24"/>
      <c r="M36" s="25"/>
      <c r="N36" s="189" t="s">
        <v>27</v>
      </c>
      <c r="O36" s="190"/>
      <c r="P36" s="191"/>
      <c r="Q36" s="187">
        <f>K36</f>
        <v>0.4833333333333365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2.2204460492503131E-16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kHrjs1idv40lrY8dO1iKu/rw+aa48ttYpM6aDku/x9Lo62OPdPMqRz2iGQ2eGErT9jS53hnjHMNXf6hZfLZYcg==" saltValue="axbj5os3+onecEs9tynO/A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4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965D533-7A1C-458C-9F61-8E3D6C00823B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pageSetUpPr fitToPage="1"/>
  </sheetPr>
  <dimension ref="A1:W41"/>
  <sheetViews>
    <sheetView topLeftCell="A20" zoomScale="137" zoomScaleNormal="100" zoomScaleSheetLayoutView="75" workbookViewId="0">
      <selection activeCell="H15" sqref="H15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13-16'!K36</f>
        <v>0.4833333333333365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13-16'!I35</f>
        <v>2.2204460492503131E-16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0.4833333333333365</v>
      </c>
      <c r="L6" s="51">
        <f>IF(LEFT(K14,1)="-",RIGHT(K14,LEN(K14)-1),K14)</f>
        <v>0.48333333333333672</v>
      </c>
      <c r="M6" s="51">
        <f>IF(LEFT(K21,1)="-",RIGHT(K21,LEN(K21)-1),K21)</f>
        <v>0.48333333333333695</v>
      </c>
      <c r="N6" s="51">
        <f>IF(LEFT(K28,1)="-",RIGHT(K28,LEN(K28)-1),K28)</f>
        <v>0.48333333333333717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158">
        <v>0.26250000000000001</v>
      </c>
      <c r="D8" s="159">
        <v>0.38541666666666669</v>
      </c>
      <c r="E8" s="159">
        <v>0.66874999999999996</v>
      </c>
      <c r="F8" s="160">
        <v>2.0833333333333332E-2</v>
      </c>
      <c r="G8" s="59">
        <f>IF(OR(ISBLANK(D8),ISBLANK(E8)),0,E8-D8-F8)</f>
        <v>0.26249999999999996</v>
      </c>
      <c r="H8" s="150"/>
      <c r="I8" s="11" t="str">
        <f>IF((G8-C8)&lt;0,TEXT(C8-G8,"-[h]:mm"),G8-C8)</f>
        <v>-0:00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45779</v>
      </c>
      <c r="B9" s="85" t="s">
        <v>11</v>
      </c>
      <c r="C9" s="158">
        <v>0.30208333333333331</v>
      </c>
      <c r="D9" s="159">
        <v>0.38541666666666669</v>
      </c>
      <c r="E9" s="159">
        <v>0.70833333333333337</v>
      </c>
      <c r="F9" s="160">
        <v>2.0833333333333332E-2</v>
      </c>
      <c r="G9" s="62">
        <f t="shared" ref="G9:G13" si="1">IF(OR(ISBLANK(D9),ISBLANK(E9)),0,E9-D9-F9)</f>
        <v>0.30208333333333337</v>
      </c>
      <c r="H9" s="151"/>
      <c r="I9" s="12">
        <f t="shared" ref="I9:I13" si="2">IF((G9-C9)&lt;0,TEXT(C9-G9,"-[h]:mm"),G9-C9)</f>
        <v>5.5511151231257827E-17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158">
        <v>0.29166666666666669</v>
      </c>
      <c r="D10" s="159">
        <v>0.39583333333333331</v>
      </c>
      <c r="E10" s="159">
        <v>0.70833333333333337</v>
      </c>
      <c r="F10" s="160">
        <v>2.0833333333333332E-2</v>
      </c>
      <c r="G10" s="62">
        <f t="shared" si="1"/>
        <v>0.29166666666666674</v>
      </c>
      <c r="H10" s="151"/>
      <c r="I10" s="12">
        <f t="shared" si="2"/>
        <v>5.5511151231257827E-17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158">
        <v>0.35416666666666669</v>
      </c>
      <c r="D11" s="159">
        <v>0.29166666666666669</v>
      </c>
      <c r="E11" s="159">
        <v>0.66666666666666663</v>
      </c>
      <c r="F11" s="160">
        <v>2.0833333333333332E-2</v>
      </c>
      <c r="G11" s="62">
        <f t="shared" si="1"/>
        <v>0.35416666666666663</v>
      </c>
      <c r="H11" s="151"/>
      <c r="I11" s="12" t="str">
        <f t="shared" si="2"/>
        <v>-0:00</v>
      </c>
      <c r="J11" s="61"/>
      <c r="K11" s="33"/>
      <c r="L11" s="61"/>
      <c r="M11" s="63"/>
      <c r="N11" s="12">
        <f t="shared" si="0"/>
        <v>0</v>
      </c>
      <c r="O11" s="2"/>
      <c r="P11" s="80" t="s">
        <v>55</v>
      </c>
      <c r="Q11" s="173"/>
      <c r="R11" s="174"/>
    </row>
    <row r="12" spans="1:20" ht="26.7" customHeight="1" x14ac:dyDescent="0.25">
      <c r="A12" s="212">
        <f>'KW 13-16'!A30+3</f>
        <v>45775</v>
      </c>
      <c r="B12" s="85" t="s">
        <v>2</v>
      </c>
      <c r="C12" s="158">
        <v>0.30208333333333331</v>
      </c>
      <c r="D12" s="159">
        <v>0.38541666666666669</v>
      </c>
      <c r="E12" s="159">
        <v>0.70833333333333337</v>
      </c>
      <c r="F12" s="160">
        <v>2.0833333333333332E-2</v>
      </c>
      <c r="G12" s="100">
        <f t="shared" si="1"/>
        <v>0.30208333333333337</v>
      </c>
      <c r="H12" s="151"/>
      <c r="I12" s="12">
        <f t="shared" si="2"/>
        <v>5.5511151231257827E-17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13-16'!A35+1</f>
        <v>17</v>
      </c>
      <c r="B14" s="7" t="s">
        <v>10</v>
      </c>
      <c r="C14" s="73">
        <f>SUM(C8:C13)</f>
        <v>1.5125</v>
      </c>
      <c r="D14" s="69"/>
      <c r="E14" s="69"/>
      <c r="F14" s="91">
        <f>SUM(F8:F13)</f>
        <v>0.10416666666666666</v>
      </c>
      <c r="G14" s="71">
        <f>SUM(G8:G13)</f>
        <v>1.5125000000000002</v>
      </c>
      <c r="H14" s="153"/>
      <c r="I14" s="92">
        <f>IF((G14-C14+J14)&lt;0,TEXT(C14-G14-J14,"-[h]:mm"),G14-C14+J14)</f>
        <v>2.2204460492503131E-16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0.48333333333333672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thickBot="1" x14ac:dyDescent="0.3">
      <c r="A15" s="140"/>
      <c r="B15" s="84" t="s">
        <v>0</v>
      </c>
      <c r="C15" s="158">
        <v>0.26250000000000001</v>
      </c>
      <c r="D15" s="159">
        <v>0.38541666666666669</v>
      </c>
      <c r="E15" s="159">
        <v>0.66874999999999996</v>
      </c>
      <c r="F15" s="160">
        <v>2.0833333333333332E-2</v>
      </c>
      <c r="G15" s="59">
        <f>IF(OR(ISBLANK(D15),ISBLANK(E15)),0,E15-D15-F15)</f>
        <v>0.26249999999999996</v>
      </c>
      <c r="H15" s="150"/>
      <c r="I15" s="11" t="str">
        <f t="shared" ref="I15:I20" si="4">IF((G15-C15)&lt;0,TEXT(C15-G15,"-[h]:mm"),G15-C15)</f>
        <v>-0:00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thickBot="1" x14ac:dyDescent="0.3">
      <c r="A16" s="213">
        <f>A19+4</f>
        <v>45786</v>
      </c>
      <c r="B16" s="95" t="s">
        <v>11</v>
      </c>
      <c r="C16" s="158">
        <v>0.30208333333333331</v>
      </c>
      <c r="D16" s="159">
        <v>0.38541666666666669</v>
      </c>
      <c r="E16" s="159">
        <v>0.70833333333333337</v>
      </c>
      <c r="F16" s="160">
        <v>2.0833333333333332E-2</v>
      </c>
      <c r="G16" s="62">
        <f t="shared" ref="G16:G19" si="5">IF(OR(ISBLANK(D16),ISBLANK(E16)),0,E16-D16-F16)</f>
        <v>0.30208333333333337</v>
      </c>
      <c r="H16" s="151"/>
      <c r="I16" s="12">
        <f t="shared" si="4"/>
        <v>5.5511151231257827E-17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thickBot="1" x14ac:dyDescent="0.3">
      <c r="A17" s="213"/>
      <c r="B17" s="95" t="s">
        <v>12</v>
      </c>
      <c r="C17" s="158">
        <v>0.29166666666666669</v>
      </c>
      <c r="D17" s="159">
        <v>0.39583333333333331</v>
      </c>
      <c r="E17" s="159">
        <v>0.70833333333333337</v>
      </c>
      <c r="F17" s="160">
        <v>2.0833333333333332E-2</v>
      </c>
      <c r="G17" s="62">
        <f t="shared" si="5"/>
        <v>0.29166666666666674</v>
      </c>
      <c r="H17" s="151"/>
      <c r="I17" s="12">
        <f t="shared" si="4"/>
        <v>5.5511151231257827E-17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thickBot="1" x14ac:dyDescent="0.3">
      <c r="A18" s="141" t="s">
        <v>45</v>
      </c>
      <c r="B18" s="95" t="s">
        <v>1</v>
      </c>
      <c r="C18" s="158">
        <v>0.35416666666666669</v>
      </c>
      <c r="D18" s="159">
        <v>0.29166666666666669</v>
      </c>
      <c r="E18" s="159">
        <v>0.66666666666666663</v>
      </c>
      <c r="F18" s="160">
        <v>2.0833333333333332E-2</v>
      </c>
      <c r="G18" s="62">
        <f t="shared" si="5"/>
        <v>0.35416666666666663</v>
      </c>
      <c r="H18" s="151"/>
      <c r="I18" s="12" t="str">
        <f t="shared" si="4"/>
        <v>-0:00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45782</v>
      </c>
      <c r="B19" s="95" t="s">
        <v>2</v>
      </c>
      <c r="C19" s="158">
        <v>0.30208333333333331</v>
      </c>
      <c r="D19" s="159">
        <v>0.38541666666666669</v>
      </c>
      <c r="E19" s="159">
        <v>0.70833333333333337</v>
      </c>
      <c r="F19" s="160">
        <v>2.0833333333333332E-2</v>
      </c>
      <c r="G19" s="62">
        <f t="shared" si="5"/>
        <v>0.30208333333333337</v>
      </c>
      <c r="H19" s="151"/>
      <c r="I19" s="12">
        <f t="shared" si="4"/>
        <v>5.5511151231257827E-17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18</v>
      </c>
      <c r="B21" s="104" t="s">
        <v>10</v>
      </c>
      <c r="C21" s="105">
        <f>SUM(C15:C20)</f>
        <v>1.5125</v>
      </c>
      <c r="D21" s="74"/>
      <c r="E21" s="74"/>
      <c r="F21" s="91">
        <f>SUM(F15:F20)</f>
        <v>0.10416666666666666</v>
      </c>
      <c r="G21" s="71">
        <f>SUM(G15:G20)</f>
        <v>1.5125000000000002</v>
      </c>
      <c r="H21" s="153"/>
      <c r="I21" s="92">
        <f>IF((G21-C21+J21)&lt;0,TEXT(C21-G21-J21,"-[h]:mm"),G21-C21+J21)</f>
        <v>2.2204460492503131E-16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0.48333333333333695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thickBot="1" x14ac:dyDescent="0.3">
      <c r="A22" s="140"/>
      <c r="B22" s="84" t="s">
        <v>0</v>
      </c>
      <c r="C22" s="158">
        <v>0.26250000000000001</v>
      </c>
      <c r="D22" s="159">
        <v>0.38541666666666669</v>
      </c>
      <c r="E22" s="159">
        <v>0.66874999999999996</v>
      </c>
      <c r="F22" s="160">
        <v>2.0833333333333332E-2</v>
      </c>
      <c r="G22" s="59">
        <f>IF(OR(ISBLANK(D22),ISBLANK(E22)),0,E22-D22-F22)</f>
        <v>0.26249999999999996</v>
      </c>
      <c r="H22" s="150"/>
      <c r="I22" s="11" t="str">
        <f t="shared" ref="I22:I27" si="8">IF((G22-C22)&lt;0,TEXT(C22-G22,"-[h]:mm"),G22-C22)</f>
        <v>-0:00</v>
      </c>
      <c r="J22" s="56"/>
      <c r="K22" s="32"/>
      <c r="L22" s="56"/>
      <c r="M22" s="60"/>
      <c r="N22" s="11">
        <f t="shared" si="0"/>
        <v>0</v>
      </c>
      <c r="O22" s="1"/>
      <c r="P22" s="79"/>
      <c r="Q22" s="171"/>
      <c r="R22" s="172"/>
      <c r="U22" s="4"/>
      <c r="V22" s="4"/>
      <c r="W22" s="4"/>
    </row>
    <row r="23" spans="1:23" ht="26.7" customHeight="1" thickBot="1" x14ac:dyDescent="0.3">
      <c r="A23" s="213">
        <f>A26+4</f>
        <v>45793</v>
      </c>
      <c r="B23" s="95" t="s">
        <v>11</v>
      </c>
      <c r="C23" s="158">
        <v>0.30208333333333331</v>
      </c>
      <c r="D23" s="159">
        <v>0.38541666666666669</v>
      </c>
      <c r="E23" s="159">
        <v>0.70833333333333337</v>
      </c>
      <c r="F23" s="160">
        <v>2.0833333333333332E-2</v>
      </c>
      <c r="G23" s="62">
        <f t="shared" ref="G23:G27" si="9">IF(OR(ISBLANK(D23),ISBLANK(E23)),0,E23-D23-F23)</f>
        <v>0.30208333333333337</v>
      </c>
      <c r="H23" s="151"/>
      <c r="I23" s="12">
        <f t="shared" si="8"/>
        <v>5.5511151231257827E-17</v>
      </c>
      <c r="J23" s="61"/>
      <c r="K23" s="33"/>
      <c r="L23" s="61"/>
      <c r="M23" s="63"/>
      <c r="N23" s="12">
        <f t="shared" si="0"/>
        <v>0</v>
      </c>
      <c r="O23" s="2"/>
      <c r="P23" s="80"/>
      <c r="Q23" s="171"/>
      <c r="R23" s="172"/>
      <c r="U23" s="4"/>
      <c r="V23" s="4"/>
      <c r="W23" s="4"/>
    </row>
    <row r="24" spans="1:23" ht="26.7" customHeight="1" thickBot="1" x14ac:dyDescent="0.3">
      <c r="A24" s="213"/>
      <c r="B24" s="95" t="s">
        <v>12</v>
      </c>
      <c r="C24" s="158">
        <v>0.29166666666666669</v>
      </c>
      <c r="D24" s="159">
        <v>0.39583333333333331</v>
      </c>
      <c r="E24" s="159">
        <v>0.70833333333333337</v>
      </c>
      <c r="F24" s="160">
        <v>2.0833333333333332E-2</v>
      </c>
      <c r="G24" s="62">
        <f t="shared" si="9"/>
        <v>0.29166666666666674</v>
      </c>
      <c r="H24" s="151"/>
      <c r="I24" s="12">
        <f t="shared" si="8"/>
        <v>5.5511151231257827E-17</v>
      </c>
      <c r="J24" s="61"/>
      <c r="K24" s="33"/>
      <c r="L24" s="61"/>
      <c r="M24" s="63"/>
      <c r="N24" s="12">
        <f t="shared" si="0"/>
        <v>0</v>
      </c>
      <c r="O24" s="2"/>
      <c r="P24" s="80"/>
      <c r="Q24" s="171"/>
      <c r="R24" s="172"/>
      <c r="U24" s="4"/>
      <c r="V24" s="4"/>
      <c r="W24" s="4"/>
    </row>
    <row r="25" spans="1:23" ht="26.7" customHeight="1" thickBot="1" x14ac:dyDescent="0.3">
      <c r="A25" s="141" t="s">
        <v>45</v>
      </c>
      <c r="B25" s="95" t="s">
        <v>1</v>
      </c>
      <c r="C25" s="158">
        <v>0.35416666666666669</v>
      </c>
      <c r="D25" s="159">
        <v>0.29166666666666669</v>
      </c>
      <c r="E25" s="159">
        <v>0.66666666666666663</v>
      </c>
      <c r="F25" s="160">
        <v>2.0833333333333332E-2</v>
      </c>
      <c r="G25" s="62">
        <f t="shared" si="9"/>
        <v>0.35416666666666663</v>
      </c>
      <c r="H25" s="151"/>
      <c r="I25" s="12" t="str">
        <f t="shared" si="8"/>
        <v>-0:00</v>
      </c>
      <c r="J25" s="61"/>
      <c r="K25" s="33"/>
      <c r="L25" s="61"/>
      <c r="M25" s="63"/>
      <c r="N25" s="12">
        <f t="shared" si="0"/>
        <v>0</v>
      </c>
      <c r="O25" s="2"/>
      <c r="P25" s="80"/>
      <c r="Q25" s="171"/>
      <c r="R25" s="172"/>
      <c r="U25" s="4"/>
      <c r="V25" s="4"/>
      <c r="W25" s="4"/>
    </row>
    <row r="26" spans="1:23" ht="26.7" customHeight="1" x14ac:dyDescent="0.25">
      <c r="A26" s="212">
        <f>A16+3</f>
        <v>45789</v>
      </c>
      <c r="B26" s="95" t="s">
        <v>2</v>
      </c>
      <c r="C26" s="158">
        <v>0.30208333333333331</v>
      </c>
      <c r="D26" s="159">
        <v>0.38541666666666669</v>
      </c>
      <c r="E26" s="159">
        <v>0.70833333333333337</v>
      </c>
      <c r="F26" s="160">
        <v>2.0833333333333332E-2</v>
      </c>
      <c r="G26" s="62">
        <f t="shared" si="9"/>
        <v>0.30208333333333337</v>
      </c>
      <c r="H26" s="151"/>
      <c r="I26" s="12">
        <f t="shared" si="8"/>
        <v>5.5511151231257827E-17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19</v>
      </c>
      <c r="B28" s="104" t="s">
        <v>10</v>
      </c>
      <c r="C28" s="105">
        <f>SUM(C22:C27)</f>
        <v>1.5125</v>
      </c>
      <c r="D28" s="74"/>
      <c r="E28" s="74"/>
      <c r="F28" s="91">
        <f>SUM(F22:F27)</f>
        <v>0.10416666666666666</v>
      </c>
      <c r="G28" s="71">
        <f>SUM(G22:G27)</f>
        <v>1.5125000000000002</v>
      </c>
      <c r="H28" s="153"/>
      <c r="I28" s="92">
        <f>IF((G28-C28+J28)&lt;0,TEXT(C28-G28-J28,"-[h]:mm"),G28-C28+J28)</f>
        <v>2.2204460492503131E-16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0.48333333333333717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215"/>
      <c r="R28" s="216"/>
      <c r="S28" s="15"/>
    </row>
    <row r="29" spans="1:23" ht="26.7" customHeight="1" thickBot="1" x14ac:dyDescent="0.3">
      <c r="A29" s="140"/>
      <c r="B29" s="84" t="s">
        <v>0</v>
      </c>
      <c r="C29" s="158">
        <v>0.26250000000000001</v>
      </c>
      <c r="D29" s="159">
        <v>0.38541666666666669</v>
      </c>
      <c r="E29" s="159">
        <v>0.66874999999999996</v>
      </c>
      <c r="F29" s="160">
        <v>2.0833333333333332E-2</v>
      </c>
      <c r="G29" s="59">
        <f>IF(OR(ISBLANK(D29),ISBLANK(E29)),0,E29-D29-F29)</f>
        <v>0.26249999999999996</v>
      </c>
      <c r="H29" s="150"/>
      <c r="I29" s="11" t="str">
        <f>IF((G29-C29)&lt;0,TEXT(C29-G29,"-[h]:mm"),G29-C29)</f>
        <v>-0:00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thickBot="1" x14ac:dyDescent="0.3">
      <c r="A30" s="213">
        <f>A33+4</f>
        <v>45800</v>
      </c>
      <c r="B30" s="95" t="s">
        <v>11</v>
      </c>
      <c r="C30" s="158">
        <v>0.30208333333333331</v>
      </c>
      <c r="D30" s="159">
        <v>0.38541666666666669</v>
      </c>
      <c r="E30" s="159">
        <v>0.70833333333333337</v>
      </c>
      <c r="F30" s="160">
        <v>2.0833333333333332E-2</v>
      </c>
      <c r="G30" s="62">
        <f t="shared" ref="G30:G34" si="11">IF(OR(ISBLANK(D30),ISBLANK(E30)),0,E30-D30-F30)</f>
        <v>0.30208333333333337</v>
      </c>
      <c r="H30" s="151"/>
      <c r="I30" s="12">
        <f>IF((G30-C30)&lt;0,TEXT(C30-G30,"-[h]:mm"),G30-C30)</f>
        <v>5.5511151231257827E-17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thickBot="1" x14ac:dyDescent="0.3">
      <c r="A31" s="213"/>
      <c r="B31" s="95" t="s">
        <v>12</v>
      </c>
      <c r="C31" s="158">
        <v>0.29166666666666669</v>
      </c>
      <c r="D31" s="159">
        <v>0.39583333333333331</v>
      </c>
      <c r="E31" s="159">
        <v>0.70833333333333337</v>
      </c>
      <c r="F31" s="160">
        <v>2.0833333333333332E-2</v>
      </c>
      <c r="G31" s="62">
        <f t="shared" si="11"/>
        <v>0.29166666666666674</v>
      </c>
      <c r="H31" s="151"/>
      <c r="I31" s="12">
        <f>IF((G31-C31)&lt;0,TEXT(C31-G31,"-[h]:mm"),G31-C31)</f>
        <v>5.5511151231257827E-17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thickBot="1" x14ac:dyDescent="0.3">
      <c r="A32" s="141" t="s">
        <v>45</v>
      </c>
      <c r="B32" s="95" t="s">
        <v>1</v>
      </c>
      <c r="C32" s="158">
        <v>0.35416666666666669</v>
      </c>
      <c r="D32" s="159">
        <v>0.29166666666666669</v>
      </c>
      <c r="E32" s="159">
        <v>0.66666666666666663</v>
      </c>
      <c r="F32" s="160">
        <v>2.0833333333333332E-2</v>
      </c>
      <c r="G32" s="62">
        <f t="shared" si="11"/>
        <v>0.35416666666666663</v>
      </c>
      <c r="H32" s="151"/>
      <c r="I32" s="12" t="str">
        <f>IF((G32-C32)&lt;0,TEXT(C32-G32,"-[h]:mm"),G32-C32)</f>
        <v>-0:00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45796</v>
      </c>
      <c r="B33" s="95" t="s">
        <v>2</v>
      </c>
      <c r="C33" s="158">
        <v>0.30208333333333331</v>
      </c>
      <c r="D33" s="159">
        <v>0.38541666666666669</v>
      </c>
      <c r="E33" s="159">
        <v>0.70833333333333337</v>
      </c>
      <c r="F33" s="160">
        <v>2.0833333333333332E-2</v>
      </c>
      <c r="G33" s="62">
        <f t="shared" si="11"/>
        <v>0.30208333333333337</v>
      </c>
      <c r="H33" s="151"/>
      <c r="I33" s="12">
        <f t="shared" ref="I33:I34" si="12">IF((G33-C33)&lt;0,TEXT(C33-G33,"-[hh]:mm"),G33-C33)</f>
        <v>5.5511151231257827E-17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20</v>
      </c>
      <c r="B35" s="104" t="s">
        <v>10</v>
      </c>
      <c r="C35" s="73">
        <f>SUM(C29:C34)</f>
        <v>1.5125</v>
      </c>
      <c r="D35" s="74"/>
      <c r="E35" s="74"/>
      <c r="F35" s="91">
        <f>SUM(F29:F34)</f>
        <v>0.10416666666666666</v>
      </c>
      <c r="G35" s="71">
        <f>SUM(G29:G34)</f>
        <v>1.5125000000000002</v>
      </c>
      <c r="H35" s="153"/>
      <c r="I35" s="92">
        <f>IF((G35-C35+J35)&lt;0,TEXT(C35-G35-J35,"-[h]:mm"),G35-C35+J35)</f>
        <v>2.2204460492503131E-16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6.05</v>
      </c>
      <c r="D36" s="23"/>
      <c r="E36" s="23"/>
      <c r="F36" s="23"/>
      <c r="G36" s="6">
        <f>G14+G21+G28+G35</f>
        <v>6.0500000000000007</v>
      </c>
      <c r="H36" s="154"/>
      <c r="I36" s="14">
        <f>IF((G36-C36+J36)&lt;0,TEXT(C36-G36-J36,"-[h]:mm"),G36-C36+J36)</f>
        <v>8.8817841970012523E-16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2.2204460492503131E-16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gUuwuWTdWnYrwT/RHfP7Gz1IUyd5OdTu6K8nIkiYXGqfuOWPxCJ51JsnDSTSOp/i3cTp3P6KZ1blijRKi/qZeQ==" saltValue="tjicsi6FR1ixZRziQP0/TQ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5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CF01BDF-4701-45DE-A597-8FB884399055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>
    <pageSetUpPr fitToPage="1"/>
  </sheetPr>
  <dimension ref="A1:W41"/>
  <sheetViews>
    <sheetView tabSelected="1" topLeftCell="A2" zoomScale="161" zoomScaleNormal="100" zoomScaleSheetLayoutView="75" workbookViewId="0">
      <selection activeCell="C29" sqref="C29:F33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17-20'!K36</f>
        <v>0.48333333333333739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17-20'!I35</f>
        <v>2.2204460492503131E-16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0.48333333333333739</v>
      </c>
      <c r="L6" s="51">
        <f>IF(LEFT(K14,1)="-",RIGHT(K14,LEN(K14)-1),K14)</f>
        <v>0.48333333333333739</v>
      </c>
      <c r="M6" s="51">
        <f>IF(LEFT(K21,1)="-",RIGHT(K21,LEN(K21)-1),K21)</f>
        <v>0.48333333333333739</v>
      </c>
      <c r="N6" s="51">
        <f>IF(LEFT(K28,1)="-",RIGHT(K28,LEN(K28)-1),K28)</f>
        <v>0.48333333333333739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56"/>
      <c r="D8" s="57"/>
      <c r="E8" s="57"/>
      <c r="F8" s="58"/>
      <c r="G8" s="59">
        <f>IF(OR(ISBLANK(D8),ISBLANK(E8)),0,E8-D8-F8)</f>
        <v>0</v>
      </c>
      <c r="H8" s="150"/>
      <c r="I8" s="11">
        <f>IF((G8-C8)&lt;0,TEXT(C8-G8,"-[h]:mm"),G8-C8)</f>
        <v>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45807</v>
      </c>
      <c r="B9" s="85" t="s">
        <v>11</v>
      </c>
      <c r="C9" s="56"/>
      <c r="D9" s="57"/>
      <c r="E9" s="57"/>
      <c r="F9" s="58"/>
      <c r="G9" s="62">
        <f t="shared" ref="G9:G13" si="1">IF(OR(ISBLANK(D9),ISBLANK(E9)),0,E9-D9-F9)</f>
        <v>0</v>
      </c>
      <c r="H9" s="151"/>
      <c r="I9" s="12">
        <f t="shared" ref="I9:I13" si="2">IF((G9-C9)&lt;0,TEXT(C9-G9,"-[h]:mm"),G9-C9)</f>
        <v>0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56"/>
      <c r="D10" s="57"/>
      <c r="E10" s="57"/>
      <c r="F10" s="58"/>
      <c r="G10" s="62">
        <f t="shared" si="1"/>
        <v>0</v>
      </c>
      <c r="H10" s="151"/>
      <c r="I10" s="12">
        <f t="shared" si="2"/>
        <v>0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56"/>
      <c r="D11" s="57"/>
      <c r="E11" s="57"/>
      <c r="F11" s="58"/>
      <c r="G11" s="62">
        <f t="shared" si="1"/>
        <v>0</v>
      </c>
      <c r="H11" s="151"/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17-20'!A30+3</f>
        <v>45803</v>
      </c>
      <c r="B12" s="85" t="s">
        <v>2</v>
      </c>
      <c r="C12" s="56"/>
      <c r="D12" s="57"/>
      <c r="E12" s="57"/>
      <c r="F12" s="58"/>
      <c r="G12" s="100">
        <f t="shared" si="1"/>
        <v>0</v>
      </c>
      <c r="H12" s="151"/>
      <c r="I12" s="12">
        <f t="shared" si="2"/>
        <v>0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17-20'!A35+1</f>
        <v>21</v>
      </c>
      <c r="B14" s="7" t="s">
        <v>10</v>
      </c>
      <c r="C14" s="73">
        <f>SUM(C8:C13)</f>
        <v>0</v>
      </c>
      <c r="D14" s="69"/>
      <c r="E14" s="69"/>
      <c r="F14" s="91">
        <f>SUM(F8:F13)</f>
        <v>0</v>
      </c>
      <c r="G14" s="71">
        <f>SUM(G8:G13)</f>
        <v>0</v>
      </c>
      <c r="H14" s="153"/>
      <c r="I14" s="92">
        <f>IF((G14-C14+J14)&lt;0,TEXT(C14-G14-J14,"-[h]:mm"),G14-C14+J14)</f>
        <v>0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0.48333333333333739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thickBot="1" x14ac:dyDescent="0.3">
      <c r="A15" s="140"/>
      <c r="B15" s="84" t="s">
        <v>0</v>
      </c>
      <c r="C15" s="158"/>
      <c r="D15" s="159"/>
      <c r="E15" s="159"/>
      <c r="F15" s="160"/>
      <c r="G15" s="59">
        <f>IF(OR(ISBLANK(D15),ISBLANK(E15)),0,E15-D15-F15)</f>
        <v>0</v>
      </c>
      <c r="H15" s="150" t="s">
        <v>49</v>
      </c>
      <c r="I15" s="11">
        <f t="shared" ref="I15:I20" si="4">IF((G15-C15)&lt;0,TEXT(C15-G15,"-[h]:mm"),G15-C15)</f>
        <v>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thickBot="1" x14ac:dyDescent="0.3">
      <c r="A16" s="213">
        <f>A19+4</f>
        <v>45814</v>
      </c>
      <c r="B16" s="95" t="s">
        <v>11</v>
      </c>
      <c r="C16" s="158"/>
      <c r="D16" s="159"/>
      <c r="E16" s="159"/>
      <c r="F16" s="160"/>
      <c r="G16" s="62">
        <f t="shared" ref="G16:G19" si="5">IF(OR(ISBLANK(D16),ISBLANK(E16)),0,E16-D16-F16)</f>
        <v>0</v>
      </c>
      <c r="H16" s="151" t="s">
        <v>49</v>
      </c>
      <c r="I16" s="12">
        <f t="shared" si="4"/>
        <v>0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thickBot="1" x14ac:dyDescent="0.3">
      <c r="A17" s="213"/>
      <c r="B17" s="95" t="s">
        <v>12</v>
      </c>
      <c r="C17" s="158"/>
      <c r="D17" s="159"/>
      <c r="E17" s="159"/>
      <c r="F17" s="160"/>
      <c r="G17" s="62">
        <f t="shared" si="5"/>
        <v>0</v>
      </c>
      <c r="H17" s="151" t="s">
        <v>49</v>
      </c>
      <c r="I17" s="12">
        <f t="shared" si="4"/>
        <v>0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thickBot="1" x14ac:dyDescent="0.3">
      <c r="A18" s="141" t="s">
        <v>45</v>
      </c>
      <c r="B18" s="95" t="s">
        <v>1</v>
      </c>
      <c r="C18" s="158"/>
      <c r="D18" s="159"/>
      <c r="E18" s="159"/>
      <c r="F18" s="160"/>
      <c r="G18" s="62">
        <f t="shared" si="5"/>
        <v>0</v>
      </c>
      <c r="H18" s="151" t="s">
        <v>49</v>
      </c>
      <c r="I18" s="12">
        <f t="shared" si="4"/>
        <v>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45810</v>
      </c>
      <c r="B19" s="95" t="s">
        <v>2</v>
      </c>
      <c r="C19" s="158"/>
      <c r="D19" s="159"/>
      <c r="E19" s="159"/>
      <c r="F19" s="160"/>
      <c r="G19" s="62">
        <f t="shared" si="5"/>
        <v>0</v>
      </c>
      <c r="H19" s="151" t="s">
        <v>49</v>
      </c>
      <c r="I19" s="12">
        <f t="shared" si="4"/>
        <v>0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22</v>
      </c>
      <c r="B21" s="104" t="s">
        <v>10</v>
      </c>
      <c r="C21" s="105">
        <f>SUM(C15:C20)</f>
        <v>0</v>
      </c>
      <c r="D21" s="74"/>
      <c r="E21" s="74"/>
      <c r="F21" s="91">
        <f>SUM(F15:F20)</f>
        <v>0</v>
      </c>
      <c r="G21" s="71">
        <f>SUM(G15:G20)</f>
        <v>0</v>
      </c>
      <c r="H21" s="153"/>
      <c r="I21" s="92">
        <f>IF((G21-C21+J21)&lt;0,TEXT(C21-G21-J21,"-[h]:mm"),G21-C21+J21)</f>
        <v>0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0.48333333333333739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thickBot="1" x14ac:dyDescent="0.3">
      <c r="A22" s="140"/>
      <c r="B22" s="84" t="s">
        <v>0</v>
      </c>
      <c r="C22" s="158"/>
      <c r="D22" s="159"/>
      <c r="E22" s="159"/>
      <c r="F22" s="160"/>
      <c r="G22" s="59">
        <f>IF(OR(ISBLANK(D22),ISBLANK(E22)),0,E22-D22-F22)</f>
        <v>0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thickBot="1" x14ac:dyDescent="0.3">
      <c r="A23" s="213">
        <f>A26+4</f>
        <v>45821</v>
      </c>
      <c r="B23" s="95" t="s">
        <v>11</v>
      </c>
      <c r="C23" s="158"/>
      <c r="D23" s="159"/>
      <c r="E23" s="159"/>
      <c r="F23" s="160"/>
      <c r="G23" s="62">
        <f t="shared" ref="G23:G27" si="9">IF(OR(ISBLANK(D23),ISBLANK(E23)),0,E23-D23-F23)</f>
        <v>0</v>
      </c>
      <c r="H23" s="151"/>
      <c r="I23" s="12">
        <f t="shared" si="8"/>
        <v>0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thickBot="1" x14ac:dyDescent="0.3">
      <c r="A24" s="213"/>
      <c r="B24" s="95" t="s">
        <v>12</v>
      </c>
      <c r="C24" s="158"/>
      <c r="D24" s="159"/>
      <c r="E24" s="159"/>
      <c r="F24" s="160"/>
      <c r="G24" s="62">
        <f t="shared" si="9"/>
        <v>0</v>
      </c>
      <c r="H24" s="151"/>
      <c r="I24" s="12">
        <f t="shared" si="8"/>
        <v>0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thickBot="1" x14ac:dyDescent="0.3">
      <c r="A25" s="141" t="s">
        <v>45</v>
      </c>
      <c r="B25" s="95" t="s">
        <v>1</v>
      </c>
      <c r="C25" s="158"/>
      <c r="D25" s="159"/>
      <c r="E25" s="159"/>
      <c r="F25" s="160"/>
      <c r="G25" s="62">
        <f t="shared" si="9"/>
        <v>0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45817</v>
      </c>
      <c r="B26" s="95" t="s">
        <v>2</v>
      </c>
      <c r="C26" s="158"/>
      <c r="D26" s="159"/>
      <c r="E26" s="159"/>
      <c r="F26" s="160"/>
      <c r="G26" s="62">
        <f t="shared" si="9"/>
        <v>0</v>
      </c>
      <c r="H26" s="151"/>
      <c r="I26" s="12">
        <f t="shared" si="8"/>
        <v>0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23</v>
      </c>
      <c r="B28" s="104" t="s">
        <v>10</v>
      </c>
      <c r="C28" s="105">
        <f>SUM(C22:C27)</f>
        <v>0</v>
      </c>
      <c r="D28" s="74"/>
      <c r="E28" s="74"/>
      <c r="F28" s="91">
        <f>SUM(F22:F27)</f>
        <v>0</v>
      </c>
      <c r="G28" s="71">
        <f>SUM(G22:G27)</f>
        <v>0</v>
      </c>
      <c r="H28" s="153"/>
      <c r="I28" s="92">
        <f>IF((G28-C28+J28)&lt;0,TEXT(C28-G28-J28,"-[h]:mm"),G28-C28+J28)</f>
        <v>0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thickBot="1" x14ac:dyDescent="0.3">
      <c r="A29" s="140"/>
      <c r="B29" s="84" t="s">
        <v>0</v>
      </c>
      <c r="C29" s="158"/>
      <c r="D29" s="159"/>
      <c r="E29" s="159"/>
      <c r="F29" s="160"/>
      <c r="G29" s="59">
        <f>IF(OR(ISBLANK(D29),ISBLANK(E29)),0,E29-D29-F29)</f>
        <v>0</v>
      </c>
      <c r="H29" s="150" t="s">
        <v>50</v>
      </c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thickBot="1" x14ac:dyDescent="0.3">
      <c r="A30" s="213">
        <f>A33+4</f>
        <v>45828</v>
      </c>
      <c r="B30" s="95" t="s">
        <v>11</v>
      </c>
      <c r="C30" s="158"/>
      <c r="D30" s="159"/>
      <c r="E30" s="159"/>
      <c r="F30" s="160"/>
      <c r="G30" s="62">
        <f t="shared" ref="G30:G34" si="11">IF(OR(ISBLANK(D30),ISBLANK(E30)),0,E30-D30-F30)</f>
        <v>0</v>
      </c>
      <c r="H30" s="151"/>
      <c r="I30" s="12">
        <f>IF((G30-C30)&lt;0,TEXT(C30-G30,"-[h]:mm"),G30-C30)</f>
        <v>0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thickBot="1" x14ac:dyDescent="0.3">
      <c r="A31" s="213"/>
      <c r="B31" s="95" t="s">
        <v>12</v>
      </c>
      <c r="C31" s="158"/>
      <c r="D31" s="159"/>
      <c r="E31" s="159"/>
      <c r="F31" s="160"/>
      <c r="G31" s="62">
        <f t="shared" si="11"/>
        <v>0</v>
      </c>
      <c r="H31" s="151"/>
      <c r="I31" s="12">
        <f>IF((G31-C31)&lt;0,TEXT(C31-G31,"-[h]:mm"),G31-C31)</f>
        <v>0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thickBot="1" x14ac:dyDescent="0.3">
      <c r="A32" s="141" t="s">
        <v>45</v>
      </c>
      <c r="B32" s="95" t="s">
        <v>1</v>
      </c>
      <c r="C32" s="158"/>
      <c r="D32" s="159"/>
      <c r="E32" s="159"/>
      <c r="F32" s="160"/>
      <c r="G32" s="62">
        <f t="shared" si="11"/>
        <v>0</v>
      </c>
      <c r="H32" s="151"/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45824</v>
      </c>
      <c r="B33" s="95" t="s">
        <v>2</v>
      </c>
      <c r="C33" s="158"/>
      <c r="D33" s="159"/>
      <c r="E33" s="159"/>
      <c r="F33" s="160"/>
      <c r="G33" s="62">
        <f t="shared" si="11"/>
        <v>0</v>
      </c>
      <c r="H33" s="151"/>
      <c r="I33" s="12">
        <f t="shared" ref="I33:I34" si="12">IF((G33-C33)&lt;0,TEXT(C33-G33,"-[hh]:mm"),G33-C33)</f>
        <v>0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24</v>
      </c>
      <c r="B35" s="104" t="s">
        <v>10</v>
      </c>
      <c r="C35" s="73">
        <f>SUM(C29:C34)</f>
        <v>0</v>
      </c>
      <c r="D35" s="74"/>
      <c r="E35" s="74"/>
      <c r="F35" s="91">
        <f>SUM(F29:F34)</f>
        <v>0</v>
      </c>
      <c r="G35" s="71">
        <f>SUM(G29:G34)</f>
        <v>0</v>
      </c>
      <c r="H35" s="153"/>
      <c r="I35" s="92">
        <f>IF((G35-C35+J35)&lt;0,TEXT(C35-G35-J35,"-[h]:mm"),G35-C35+J35)</f>
        <v>0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0</v>
      </c>
      <c r="D36" s="23"/>
      <c r="E36" s="23"/>
      <c r="F36" s="23"/>
      <c r="G36" s="6">
        <f>G14+G21+G28+G35</f>
        <v>0</v>
      </c>
      <c r="H36" s="154"/>
      <c r="I36" s="14">
        <f>IF((G36-C36+J36)&lt;0,TEXT(C36-G36-J36,"-[h]:mm"),G36-C36+J36)</f>
        <v>0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0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KGuTHaK5pATVVgpQNp8ki1VCjU5Um4HGWBAS6I1s5ka7CWLhd30/coHQ2CjJJuaCG6bTz5A+JdaiApZY6jNTHg==" saltValue="CqdUl0jFrlKrJDNSW/DY9g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6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051B133-5822-4048-8E34-C1B9A333C56D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>
    <pageSetUpPr fitToPage="1"/>
  </sheetPr>
  <dimension ref="A1:W41"/>
  <sheetViews>
    <sheetView topLeftCell="A8" zoomScale="164" zoomScaleNormal="100" zoomScaleSheetLayoutView="75" workbookViewId="0">
      <selection activeCell="C8" sqref="C8:F12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21-24'!K36</f>
        <v>0.48333333333333739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21-24'!I35</f>
        <v>0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0.48333333333333739</v>
      </c>
      <c r="L6" s="51">
        <f>IF(LEFT(K14,1)="-",RIGHT(K14,LEN(K14)-1),K14)</f>
        <v>0.48333333333333739</v>
      </c>
      <c r="M6" s="51">
        <f>IF(LEFT(K21,1)="-",RIGHT(K21,LEN(K21)-1),K21)</f>
        <v>0.48333333333333739</v>
      </c>
      <c r="N6" s="51">
        <f>IF(LEFT(K28,1)="-",RIGHT(K28,LEN(K28)-1),K28)</f>
        <v>0.48333333333333739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158"/>
      <c r="D8" s="159"/>
      <c r="E8" s="159"/>
      <c r="F8" s="160"/>
      <c r="G8" s="59">
        <f>IF(OR(ISBLANK(D8),ISBLANK(E8)),0,E8-D8-F8)</f>
        <v>0</v>
      </c>
      <c r="H8" s="150"/>
      <c r="I8" s="11">
        <f>IF((G8-C8)&lt;0,TEXT(C8-G8,"-[h]:mm"),G8-C8)</f>
        <v>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45835</v>
      </c>
      <c r="B9" s="85" t="s">
        <v>11</v>
      </c>
      <c r="C9" s="158"/>
      <c r="D9" s="159"/>
      <c r="E9" s="159"/>
      <c r="F9" s="160"/>
      <c r="G9" s="62">
        <f t="shared" ref="G9:G13" si="1">IF(OR(ISBLANK(D9),ISBLANK(E9)),0,E9-D9-F9)</f>
        <v>0</v>
      </c>
      <c r="H9" s="151"/>
      <c r="I9" s="12">
        <f t="shared" ref="I9:I13" si="2">IF((G9-C9)&lt;0,TEXT(C9-G9,"-[h]:mm"),G9-C9)</f>
        <v>0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158"/>
      <c r="D10" s="159"/>
      <c r="E10" s="159"/>
      <c r="F10" s="160"/>
      <c r="G10" s="62">
        <f t="shared" si="1"/>
        <v>0</v>
      </c>
      <c r="H10" s="151"/>
      <c r="I10" s="12">
        <f t="shared" si="2"/>
        <v>0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158"/>
      <c r="D11" s="159"/>
      <c r="E11" s="159"/>
      <c r="F11" s="160"/>
      <c r="G11" s="62">
        <f t="shared" si="1"/>
        <v>0</v>
      </c>
      <c r="H11" s="151"/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21-24'!A30+3</f>
        <v>45831</v>
      </c>
      <c r="B12" s="85" t="s">
        <v>2</v>
      </c>
      <c r="C12" s="158"/>
      <c r="D12" s="159"/>
      <c r="E12" s="159"/>
      <c r="F12" s="160"/>
      <c r="G12" s="100">
        <f t="shared" si="1"/>
        <v>0</v>
      </c>
      <c r="H12" s="151"/>
      <c r="I12" s="12">
        <f t="shared" si="2"/>
        <v>0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21-24'!A35+1</f>
        <v>25</v>
      </c>
      <c r="B14" s="7" t="s">
        <v>10</v>
      </c>
      <c r="C14" s="73">
        <f>SUM(C8:C13)</f>
        <v>0</v>
      </c>
      <c r="D14" s="69"/>
      <c r="E14" s="69"/>
      <c r="F14" s="91">
        <f>SUM(F8:F13)</f>
        <v>0</v>
      </c>
      <c r="G14" s="71">
        <f>SUM(G8:G13)</f>
        <v>0</v>
      </c>
      <c r="H14" s="153"/>
      <c r="I14" s="92">
        <f>IF((G14-C14+J14)&lt;0,TEXT(C14-G14-J14,"-[h]:mm"),G14-C14+J14)</f>
        <v>0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0.48333333333333739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thickBot="1" x14ac:dyDescent="0.3">
      <c r="A15" s="140"/>
      <c r="B15" s="84" t="s">
        <v>0</v>
      </c>
      <c r="C15" s="158"/>
      <c r="D15" s="159"/>
      <c r="E15" s="159"/>
      <c r="F15" s="160"/>
      <c r="G15" s="59">
        <f>IF(OR(ISBLANK(D15),ISBLANK(E15)),0,E15-D15-F15)</f>
        <v>0</v>
      </c>
      <c r="H15" s="150" t="s">
        <v>49</v>
      </c>
      <c r="I15" s="11">
        <f t="shared" ref="I15:I20" si="4">IF((G15-C15)&lt;0,TEXT(C15-G15,"-[h]:mm"),G15-C15)</f>
        <v>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thickBot="1" x14ac:dyDescent="0.3">
      <c r="A16" s="213">
        <f>A19+4</f>
        <v>45842</v>
      </c>
      <c r="B16" s="95" t="s">
        <v>11</v>
      </c>
      <c r="C16" s="158"/>
      <c r="D16" s="159"/>
      <c r="E16" s="159"/>
      <c r="F16" s="160"/>
      <c r="G16" s="62">
        <f t="shared" ref="G16:G19" si="5">IF(OR(ISBLANK(D16),ISBLANK(E16)),0,E16-D16-F16)</f>
        <v>0</v>
      </c>
      <c r="H16" s="151" t="s">
        <v>49</v>
      </c>
      <c r="I16" s="12">
        <f t="shared" si="4"/>
        <v>0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thickBot="1" x14ac:dyDescent="0.3">
      <c r="A17" s="213"/>
      <c r="B17" s="95" t="s">
        <v>12</v>
      </c>
      <c r="C17" s="158"/>
      <c r="D17" s="159"/>
      <c r="E17" s="159"/>
      <c r="F17" s="160"/>
      <c r="G17" s="62">
        <f t="shared" si="5"/>
        <v>0</v>
      </c>
      <c r="H17" s="151" t="s">
        <v>49</v>
      </c>
      <c r="I17" s="12">
        <f t="shared" si="4"/>
        <v>0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thickBot="1" x14ac:dyDescent="0.3">
      <c r="A18" s="141" t="s">
        <v>45</v>
      </c>
      <c r="B18" s="95" t="s">
        <v>1</v>
      </c>
      <c r="C18" s="158"/>
      <c r="D18" s="159"/>
      <c r="E18" s="159"/>
      <c r="F18" s="160"/>
      <c r="G18" s="62">
        <f t="shared" si="5"/>
        <v>0</v>
      </c>
      <c r="H18" s="151" t="s">
        <v>49</v>
      </c>
      <c r="I18" s="12">
        <f t="shared" si="4"/>
        <v>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45838</v>
      </c>
      <c r="B19" s="95" t="s">
        <v>2</v>
      </c>
      <c r="C19" s="158"/>
      <c r="D19" s="159"/>
      <c r="E19" s="159"/>
      <c r="F19" s="160"/>
      <c r="G19" s="62">
        <f t="shared" si="5"/>
        <v>0</v>
      </c>
      <c r="H19" s="151" t="s">
        <v>49</v>
      </c>
      <c r="I19" s="12">
        <f t="shared" si="4"/>
        <v>0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26</v>
      </c>
      <c r="B21" s="104" t="s">
        <v>10</v>
      </c>
      <c r="C21" s="105">
        <f>SUM(C15:C20)</f>
        <v>0</v>
      </c>
      <c r="D21" s="74"/>
      <c r="E21" s="74"/>
      <c r="F21" s="91">
        <f>SUM(F15:F20)</f>
        <v>0</v>
      </c>
      <c r="G21" s="71">
        <f>SUM(G15:G20)</f>
        <v>0</v>
      </c>
      <c r="H21" s="153"/>
      <c r="I21" s="92">
        <f>IF((G21-C21+J21)&lt;0,TEXT(C21-G21-J21,"-[h]:mm"),G21-C21+J21)</f>
        <v>0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0.48333333333333739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thickBot="1" x14ac:dyDescent="0.3">
      <c r="A22" s="140"/>
      <c r="B22" s="84" t="s">
        <v>0</v>
      </c>
      <c r="C22" s="158"/>
      <c r="D22" s="159"/>
      <c r="E22" s="159"/>
      <c r="F22" s="160"/>
      <c r="G22" s="59">
        <f>IF(OR(ISBLANK(D22),ISBLANK(E22)),0,E22-D22-F22)</f>
        <v>0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thickBot="1" x14ac:dyDescent="0.3">
      <c r="A23" s="213">
        <f>A26+4</f>
        <v>45849</v>
      </c>
      <c r="B23" s="95" t="s">
        <v>11</v>
      </c>
      <c r="C23" s="158"/>
      <c r="D23" s="159"/>
      <c r="E23" s="159"/>
      <c r="F23" s="160"/>
      <c r="G23" s="62">
        <f t="shared" ref="G23:G27" si="9">IF(OR(ISBLANK(D23),ISBLANK(E23)),0,E23-D23-F23)</f>
        <v>0</v>
      </c>
      <c r="H23" s="151"/>
      <c r="I23" s="12">
        <f t="shared" si="8"/>
        <v>0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thickBot="1" x14ac:dyDescent="0.3">
      <c r="A24" s="213"/>
      <c r="B24" s="95" t="s">
        <v>12</v>
      </c>
      <c r="C24" s="158"/>
      <c r="D24" s="159"/>
      <c r="E24" s="159"/>
      <c r="F24" s="160"/>
      <c r="G24" s="62">
        <f t="shared" si="9"/>
        <v>0</v>
      </c>
      <c r="H24" s="151"/>
      <c r="I24" s="12">
        <f t="shared" si="8"/>
        <v>0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thickBot="1" x14ac:dyDescent="0.3">
      <c r="A25" s="141" t="s">
        <v>45</v>
      </c>
      <c r="B25" s="95" t="s">
        <v>1</v>
      </c>
      <c r="C25" s="158"/>
      <c r="D25" s="159"/>
      <c r="E25" s="159"/>
      <c r="F25" s="160"/>
      <c r="G25" s="62">
        <f t="shared" si="9"/>
        <v>0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45845</v>
      </c>
      <c r="B26" s="95" t="s">
        <v>2</v>
      </c>
      <c r="C26" s="158"/>
      <c r="D26" s="159"/>
      <c r="E26" s="159"/>
      <c r="F26" s="160"/>
      <c r="G26" s="62">
        <f t="shared" si="9"/>
        <v>0</v>
      </c>
      <c r="H26" s="151"/>
      <c r="I26" s="12">
        <f t="shared" si="8"/>
        <v>0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27</v>
      </c>
      <c r="B28" s="104" t="s">
        <v>10</v>
      </c>
      <c r="C28" s="105">
        <f>SUM(C22:C27)</f>
        <v>0</v>
      </c>
      <c r="D28" s="74"/>
      <c r="E28" s="74"/>
      <c r="F28" s="91">
        <f>SUM(F22:F27)</f>
        <v>0</v>
      </c>
      <c r="G28" s="71">
        <f>SUM(G22:G27)</f>
        <v>0</v>
      </c>
      <c r="H28" s="153"/>
      <c r="I28" s="92">
        <f>IF((G28-C28+J28)&lt;0,TEXT(C28-G28-J28,"-[h]:mm"),G28-C28+J28)</f>
        <v>0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thickBot="1" x14ac:dyDescent="0.3">
      <c r="A29" s="140"/>
      <c r="B29" s="84" t="s">
        <v>0</v>
      </c>
      <c r="C29" s="158"/>
      <c r="D29" s="159"/>
      <c r="E29" s="159"/>
      <c r="F29" s="160"/>
      <c r="G29" s="59">
        <f>IF(OR(ISBLANK(D29),ISBLANK(E29)),0,E29-D29-F29)</f>
        <v>0</v>
      </c>
      <c r="H29" s="150"/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thickBot="1" x14ac:dyDescent="0.3">
      <c r="A30" s="213">
        <f>A33+4</f>
        <v>45856</v>
      </c>
      <c r="B30" s="95" t="s">
        <v>11</v>
      </c>
      <c r="C30" s="158"/>
      <c r="D30" s="159"/>
      <c r="E30" s="159"/>
      <c r="F30" s="160"/>
      <c r="G30" s="62">
        <f t="shared" ref="G30:G34" si="11">IF(OR(ISBLANK(D30),ISBLANK(E30)),0,E30-D30-F30)</f>
        <v>0</v>
      </c>
      <c r="H30" s="151"/>
      <c r="I30" s="12">
        <f>IF((G30-C30)&lt;0,TEXT(C30-G30,"-[h]:mm"),G30-C30)</f>
        <v>0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thickBot="1" x14ac:dyDescent="0.3">
      <c r="A31" s="213"/>
      <c r="B31" s="95" t="s">
        <v>12</v>
      </c>
      <c r="C31" s="158"/>
      <c r="D31" s="159"/>
      <c r="E31" s="159"/>
      <c r="F31" s="160"/>
      <c r="G31" s="62">
        <f t="shared" si="11"/>
        <v>0</v>
      </c>
      <c r="H31" s="151"/>
      <c r="I31" s="12">
        <f>IF((G31-C31)&lt;0,TEXT(C31-G31,"-[h]:mm"),G31-C31)</f>
        <v>0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thickBot="1" x14ac:dyDescent="0.3">
      <c r="A32" s="141" t="s">
        <v>45</v>
      </c>
      <c r="B32" s="95" t="s">
        <v>1</v>
      </c>
      <c r="C32" s="158"/>
      <c r="D32" s="159"/>
      <c r="E32" s="159"/>
      <c r="F32" s="160"/>
      <c r="G32" s="62">
        <f t="shared" si="11"/>
        <v>0</v>
      </c>
      <c r="H32" s="151"/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45852</v>
      </c>
      <c r="B33" s="95" t="s">
        <v>2</v>
      </c>
      <c r="C33" s="158"/>
      <c r="D33" s="159"/>
      <c r="E33" s="159"/>
      <c r="F33" s="160"/>
      <c r="G33" s="62">
        <f t="shared" si="11"/>
        <v>0</v>
      </c>
      <c r="H33" s="151"/>
      <c r="I33" s="12">
        <f t="shared" ref="I33:I34" si="12">IF((G33-C33)&lt;0,TEXT(C33-G33,"-[hh]:mm"),G33-C33)</f>
        <v>0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28</v>
      </c>
      <c r="B35" s="104" t="s">
        <v>10</v>
      </c>
      <c r="C35" s="73">
        <f>SUM(C29:C34)</f>
        <v>0</v>
      </c>
      <c r="D35" s="74"/>
      <c r="E35" s="74"/>
      <c r="F35" s="91">
        <f>SUM(F29:F34)</f>
        <v>0</v>
      </c>
      <c r="G35" s="71">
        <f>SUM(G29:G34)</f>
        <v>0</v>
      </c>
      <c r="H35" s="153"/>
      <c r="I35" s="92">
        <f>IF((G35-C35+J35)&lt;0,TEXT(C35-G35-J35,"-[h]:mm"),G35-C35+J35)</f>
        <v>0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0</v>
      </c>
      <c r="D36" s="23"/>
      <c r="E36" s="23"/>
      <c r="F36" s="23"/>
      <c r="G36" s="6">
        <f>G14+G21+G28+G35</f>
        <v>0</v>
      </c>
      <c r="H36" s="154"/>
      <c r="I36" s="14">
        <f>IF((G36-C36+J36)&lt;0,TEXT(C36-G36-J36,"-[h]:mm"),G36-C36+J36)</f>
        <v>0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0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kvPAOQGjcY9ltw4PdBBQvow3rih5dj+8EjZ2k2/+OdnXvSNGBLHSk2ca4knSu66J8ZcwGo7H9SqgYvyc+CtCHg==" saltValue="gg4KC1A6uUOYJ6Ugc1xh0Q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7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3ABB622-02F1-4731-81E0-FB3689DA3A03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>
    <pageSetUpPr fitToPage="1"/>
  </sheetPr>
  <dimension ref="A1:W41"/>
  <sheetViews>
    <sheetView topLeftCell="A18" zoomScale="131" zoomScaleNormal="100" zoomScaleSheetLayoutView="75" workbookViewId="0">
      <selection activeCell="C29" sqref="C29:F33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25-28'!K36</f>
        <v>0.48333333333333739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25-28'!I35</f>
        <v>0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0.48333333333333739</v>
      </c>
      <c r="L6" s="51">
        <f>IF(LEFT(K14,1)="-",RIGHT(K14,LEN(K14)-1),K14)</f>
        <v>0.48333333333333739</v>
      </c>
      <c r="M6" s="51">
        <f>IF(LEFT(K21,1)="-",RIGHT(K21,LEN(K21)-1),K21)</f>
        <v>0.48333333333333739</v>
      </c>
      <c r="N6" s="51">
        <f>IF(LEFT(K28,1)="-",RIGHT(K28,LEN(K28)-1),K28)</f>
        <v>0.48333333333333739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158"/>
      <c r="D8" s="159"/>
      <c r="E8" s="159"/>
      <c r="F8" s="160"/>
      <c r="G8" s="59">
        <f>IF(OR(ISBLANK(D8),ISBLANK(E8)),0,E8-D8-F8)</f>
        <v>0</v>
      </c>
      <c r="H8" s="150" t="s">
        <v>50</v>
      </c>
      <c r="I8" s="11">
        <f>IF((G8-C8)&lt;0,TEXT(C8-G8,"-[h]:mm"),G8-C8)</f>
        <v>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45863</v>
      </c>
      <c r="B9" s="85" t="s">
        <v>11</v>
      </c>
      <c r="C9" s="158"/>
      <c r="D9" s="159"/>
      <c r="E9" s="159"/>
      <c r="F9" s="160"/>
      <c r="G9" s="62">
        <f t="shared" ref="G9:G13" si="1">IF(OR(ISBLANK(D9),ISBLANK(E9)),0,E9-D9-F9)</f>
        <v>0</v>
      </c>
      <c r="H9" s="151"/>
      <c r="I9" s="12">
        <f t="shared" ref="I9:I13" si="2">IF((G9-C9)&lt;0,TEXT(C9-G9,"-[h]:mm"),G9-C9)</f>
        <v>0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158"/>
      <c r="D10" s="159"/>
      <c r="E10" s="159"/>
      <c r="F10" s="160"/>
      <c r="G10" s="62">
        <f t="shared" si="1"/>
        <v>0</v>
      </c>
      <c r="H10" s="151"/>
      <c r="I10" s="12">
        <f t="shared" si="2"/>
        <v>0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158"/>
      <c r="D11" s="159"/>
      <c r="E11" s="159"/>
      <c r="F11" s="160"/>
      <c r="G11" s="62">
        <f t="shared" si="1"/>
        <v>0</v>
      </c>
      <c r="H11" s="151"/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25-28'!A30+3</f>
        <v>45859</v>
      </c>
      <c r="B12" s="85" t="s">
        <v>2</v>
      </c>
      <c r="C12" s="158"/>
      <c r="D12" s="159"/>
      <c r="E12" s="159"/>
      <c r="F12" s="160"/>
      <c r="G12" s="100">
        <f t="shared" si="1"/>
        <v>0</v>
      </c>
      <c r="H12" s="151"/>
      <c r="I12" s="12">
        <f t="shared" si="2"/>
        <v>0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25-28'!A35+1</f>
        <v>29</v>
      </c>
      <c r="B14" s="7" t="s">
        <v>10</v>
      </c>
      <c r="C14" s="73">
        <f>SUM(C8:C13)</f>
        <v>0</v>
      </c>
      <c r="D14" s="69"/>
      <c r="E14" s="69"/>
      <c r="F14" s="91">
        <f>SUM(F8:F13)</f>
        <v>0</v>
      </c>
      <c r="G14" s="71">
        <f>SUM(G8:G13)</f>
        <v>0</v>
      </c>
      <c r="H14" s="153"/>
      <c r="I14" s="92">
        <f>IF((G14-C14+J14)&lt;0,TEXT(C14-G14-J14,"-[h]:mm"),G14-C14+J14)</f>
        <v>0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0.48333333333333739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thickBot="1" x14ac:dyDescent="0.3">
      <c r="A15" s="140"/>
      <c r="B15" s="84" t="s">
        <v>0</v>
      </c>
      <c r="C15" s="158"/>
      <c r="D15" s="159"/>
      <c r="E15" s="159"/>
      <c r="F15" s="160"/>
      <c r="G15" s="59">
        <f>IF(OR(ISBLANK(D15),ISBLANK(E15)),0,E15-D15-F15)</f>
        <v>0</v>
      </c>
      <c r="H15" s="150"/>
      <c r="I15" s="11">
        <f t="shared" ref="I15:I20" si="4">IF((G15-C15)&lt;0,TEXT(C15-G15,"-[h]:mm"),G15-C15)</f>
        <v>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thickBot="1" x14ac:dyDescent="0.3">
      <c r="A16" s="213">
        <f>A19+4</f>
        <v>45870</v>
      </c>
      <c r="B16" s="95" t="s">
        <v>11</v>
      </c>
      <c r="C16" s="158"/>
      <c r="D16" s="159"/>
      <c r="E16" s="159"/>
      <c r="F16" s="160"/>
      <c r="G16" s="62">
        <f t="shared" ref="G16:G19" si="5">IF(OR(ISBLANK(D16),ISBLANK(E16)),0,E16-D16-F16)</f>
        <v>0</v>
      </c>
      <c r="H16" s="151"/>
      <c r="I16" s="12">
        <f t="shared" si="4"/>
        <v>0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thickBot="1" x14ac:dyDescent="0.3">
      <c r="A17" s="213"/>
      <c r="B17" s="95" t="s">
        <v>12</v>
      </c>
      <c r="C17" s="158"/>
      <c r="D17" s="159"/>
      <c r="E17" s="159"/>
      <c r="F17" s="160"/>
      <c r="G17" s="62">
        <f t="shared" si="5"/>
        <v>0</v>
      </c>
      <c r="H17" s="151"/>
      <c r="I17" s="12">
        <f t="shared" si="4"/>
        <v>0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thickBot="1" x14ac:dyDescent="0.3">
      <c r="A18" s="141" t="s">
        <v>45</v>
      </c>
      <c r="B18" s="95" t="s">
        <v>1</v>
      </c>
      <c r="C18" s="158"/>
      <c r="D18" s="159"/>
      <c r="E18" s="159"/>
      <c r="F18" s="160"/>
      <c r="G18" s="62">
        <f t="shared" si="5"/>
        <v>0</v>
      </c>
      <c r="H18" s="151"/>
      <c r="I18" s="12">
        <f t="shared" si="4"/>
        <v>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45866</v>
      </c>
      <c r="B19" s="95" t="s">
        <v>2</v>
      </c>
      <c r="C19" s="158"/>
      <c r="D19" s="159"/>
      <c r="E19" s="159"/>
      <c r="F19" s="160"/>
      <c r="G19" s="62">
        <f t="shared" si="5"/>
        <v>0</v>
      </c>
      <c r="H19" s="151"/>
      <c r="I19" s="12">
        <f t="shared" si="4"/>
        <v>0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30</v>
      </c>
      <c r="B21" s="104" t="s">
        <v>10</v>
      </c>
      <c r="C21" s="105">
        <f>SUM(C15:C20)</f>
        <v>0</v>
      </c>
      <c r="D21" s="74"/>
      <c r="E21" s="74"/>
      <c r="F21" s="91">
        <f>SUM(F15:F20)</f>
        <v>0</v>
      </c>
      <c r="G21" s="71">
        <f>SUM(G15:G20)</f>
        <v>0</v>
      </c>
      <c r="H21" s="153"/>
      <c r="I21" s="92">
        <f>IF((G21-C21+J21)&lt;0,TEXT(C21-G21-J21,"-[h]:mm"),G21-C21+J21)</f>
        <v>0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0.48333333333333739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thickBot="1" x14ac:dyDescent="0.3">
      <c r="A22" s="140"/>
      <c r="B22" s="84" t="s">
        <v>0</v>
      </c>
      <c r="C22" s="158"/>
      <c r="D22" s="159"/>
      <c r="E22" s="159"/>
      <c r="F22" s="160"/>
      <c r="G22" s="59">
        <f>IF(OR(ISBLANK(D22),ISBLANK(E22)),0,E22-D22-F22)</f>
        <v>0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thickBot="1" x14ac:dyDescent="0.3">
      <c r="A23" s="213">
        <f>A26+4</f>
        <v>45877</v>
      </c>
      <c r="B23" s="95" t="s">
        <v>11</v>
      </c>
      <c r="C23" s="158"/>
      <c r="D23" s="159"/>
      <c r="E23" s="159"/>
      <c r="F23" s="160"/>
      <c r="G23" s="62">
        <f t="shared" ref="G23:G27" si="9">IF(OR(ISBLANK(D23),ISBLANK(E23)),0,E23-D23-F23)</f>
        <v>0</v>
      </c>
      <c r="H23" s="151"/>
      <c r="I23" s="12">
        <f t="shared" si="8"/>
        <v>0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thickBot="1" x14ac:dyDescent="0.3">
      <c r="A24" s="213"/>
      <c r="B24" s="95" t="s">
        <v>12</v>
      </c>
      <c r="C24" s="158"/>
      <c r="D24" s="159"/>
      <c r="E24" s="159"/>
      <c r="F24" s="160"/>
      <c r="G24" s="62">
        <f t="shared" si="9"/>
        <v>0</v>
      </c>
      <c r="H24" s="151"/>
      <c r="I24" s="12">
        <f t="shared" si="8"/>
        <v>0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thickBot="1" x14ac:dyDescent="0.3">
      <c r="A25" s="141" t="s">
        <v>45</v>
      </c>
      <c r="B25" s="95" t="s">
        <v>1</v>
      </c>
      <c r="C25" s="158"/>
      <c r="D25" s="159"/>
      <c r="E25" s="159"/>
      <c r="F25" s="160"/>
      <c r="G25" s="62">
        <f t="shared" si="9"/>
        <v>0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45873</v>
      </c>
      <c r="B26" s="95" t="s">
        <v>2</v>
      </c>
      <c r="C26" s="158"/>
      <c r="D26" s="159"/>
      <c r="E26" s="159"/>
      <c r="F26" s="160"/>
      <c r="G26" s="62">
        <f t="shared" si="9"/>
        <v>0</v>
      </c>
      <c r="H26" s="151"/>
      <c r="I26" s="12">
        <f t="shared" si="8"/>
        <v>0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31</v>
      </c>
      <c r="B28" s="104" t="s">
        <v>10</v>
      </c>
      <c r="C28" s="105">
        <f>SUM(C22:C27)</f>
        <v>0</v>
      </c>
      <c r="D28" s="74"/>
      <c r="E28" s="74"/>
      <c r="F28" s="91">
        <f>SUM(F22:F27)</f>
        <v>0</v>
      </c>
      <c r="G28" s="71">
        <f>SUM(G22:G27)</f>
        <v>0</v>
      </c>
      <c r="H28" s="153"/>
      <c r="I28" s="92">
        <f>IF((G28-C28+J28)&lt;0,TEXT(C28-G28-J28,"-[h]:mm"),G28-C28+J28)</f>
        <v>0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thickBot="1" x14ac:dyDescent="0.3">
      <c r="A29" s="140"/>
      <c r="B29" s="84" t="s">
        <v>0</v>
      </c>
      <c r="C29" s="158"/>
      <c r="D29" s="159"/>
      <c r="E29" s="159"/>
      <c r="F29" s="160"/>
      <c r="G29" s="59">
        <f>IF(OR(ISBLANK(D29),ISBLANK(E29)),0,E29-D29-F29)</f>
        <v>0</v>
      </c>
      <c r="H29" s="150" t="s">
        <v>49</v>
      </c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thickBot="1" x14ac:dyDescent="0.3">
      <c r="A30" s="213">
        <f>A33+4</f>
        <v>45884</v>
      </c>
      <c r="B30" s="95" t="s">
        <v>11</v>
      </c>
      <c r="C30" s="158"/>
      <c r="D30" s="159"/>
      <c r="E30" s="159"/>
      <c r="F30" s="160"/>
      <c r="G30" s="62">
        <f t="shared" ref="G30:G34" si="11">IF(OR(ISBLANK(D30),ISBLANK(E30)),0,E30-D30-F30)</f>
        <v>0</v>
      </c>
      <c r="H30" s="150" t="s">
        <v>49</v>
      </c>
      <c r="I30" s="12">
        <f>IF((G30-C30)&lt;0,TEXT(C30-G30,"-[h]:mm"),G30-C30)</f>
        <v>0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thickBot="1" x14ac:dyDescent="0.3">
      <c r="A31" s="213"/>
      <c r="B31" s="95" t="s">
        <v>12</v>
      </c>
      <c r="C31" s="158"/>
      <c r="D31" s="159"/>
      <c r="E31" s="159"/>
      <c r="F31" s="160"/>
      <c r="G31" s="62">
        <f t="shared" si="11"/>
        <v>0</v>
      </c>
      <c r="H31" s="150" t="s">
        <v>49</v>
      </c>
      <c r="I31" s="12">
        <f>IF((G31-C31)&lt;0,TEXT(C31-G31,"-[h]:mm"),G31-C31)</f>
        <v>0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thickBot="1" x14ac:dyDescent="0.3">
      <c r="A32" s="141" t="s">
        <v>45</v>
      </c>
      <c r="B32" s="95" t="s">
        <v>1</v>
      </c>
      <c r="C32" s="158"/>
      <c r="D32" s="159"/>
      <c r="E32" s="159"/>
      <c r="F32" s="160"/>
      <c r="G32" s="62">
        <f t="shared" si="11"/>
        <v>0</v>
      </c>
      <c r="H32" s="150" t="s">
        <v>49</v>
      </c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thickBot="1" x14ac:dyDescent="0.3">
      <c r="A33" s="212">
        <f>A23+3</f>
        <v>45880</v>
      </c>
      <c r="B33" s="95" t="s">
        <v>2</v>
      </c>
      <c r="C33" s="158"/>
      <c r="D33" s="159"/>
      <c r="E33" s="159"/>
      <c r="F33" s="160"/>
      <c r="G33" s="62">
        <f t="shared" si="11"/>
        <v>0</v>
      </c>
      <c r="H33" s="150" t="s">
        <v>49</v>
      </c>
      <c r="I33" s="12">
        <f t="shared" ref="I33:I34" si="12">IF((G33-C33)&lt;0,TEXT(C33-G33,"-[hh]:mm"),G33-C33)</f>
        <v>0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0" t="s">
        <v>49</v>
      </c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32</v>
      </c>
      <c r="B35" s="104" t="s">
        <v>10</v>
      </c>
      <c r="C35" s="73">
        <f>SUM(C29:C34)</f>
        <v>0</v>
      </c>
      <c r="D35" s="74"/>
      <c r="E35" s="74"/>
      <c r="F35" s="91">
        <f>SUM(F29:F34)</f>
        <v>0</v>
      </c>
      <c r="G35" s="71">
        <f>SUM(G29:G34)</f>
        <v>0</v>
      </c>
      <c r="H35" s="153"/>
      <c r="I35" s="92">
        <f>IF((G35-C35+J35)&lt;0,TEXT(C35-G35-J35,"-[h]:mm"),G35-C35+J35)</f>
        <v>0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0</v>
      </c>
      <c r="D36" s="23"/>
      <c r="E36" s="23"/>
      <c r="F36" s="23"/>
      <c r="G36" s="6">
        <f>G14+G21+G28+G35</f>
        <v>0</v>
      </c>
      <c r="H36" s="154"/>
      <c r="I36" s="14">
        <f>IF((G36-C36+J36)&lt;0,TEXT(C36-G36-J36,"-[h]:mm"),G36-C36+J36)</f>
        <v>0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0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fOYGll/UAVs8T/MHvbrtMwAIsxfh2pCaCirWMjoEzZ5hL5LHVphT8Yu8H3il8e8GaDWUWbHh8RRfrsMnVmgezQ==" saltValue="ycWobQw3XG2noDYYu3mHTA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8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23AF824-89CC-4667-B244-277CBA57E849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>
    <pageSetUpPr fitToPage="1"/>
  </sheetPr>
  <dimension ref="A1:W41"/>
  <sheetViews>
    <sheetView topLeftCell="A21" zoomScale="132" zoomScaleNormal="100" zoomScaleSheetLayoutView="75" workbookViewId="0">
      <selection activeCell="C29" sqref="C29:F33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29-32'!K36</f>
        <v>0.48333333333333739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29-32'!I35</f>
        <v>0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0.48333333333333739</v>
      </c>
      <c r="L6" s="51">
        <f>IF(LEFT(K14,1)="-",RIGHT(K14,LEN(K14)-1),K14)</f>
        <v>0.48333333333333739</v>
      </c>
      <c r="M6" s="51">
        <f>IF(LEFT(K21,1)="-",RIGHT(K21,LEN(K21)-1),K21)</f>
        <v>0.48333333333333739</v>
      </c>
      <c r="N6" s="51">
        <f>IF(LEFT(K28,1)="-",RIGHT(K28,LEN(K28)-1),K28)</f>
        <v>0.48333333333333739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158"/>
      <c r="D8" s="159"/>
      <c r="E8" s="159"/>
      <c r="F8" s="160"/>
      <c r="G8" s="59">
        <f>IF(OR(ISBLANK(D8),ISBLANK(E8)),0,E8-D8-F8)</f>
        <v>0</v>
      </c>
      <c r="H8" s="150" t="s">
        <v>49</v>
      </c>
      <c r="I8" s="11">
        <f>IF((G8-C8)&lt;0,TEXT(C8-G8,"-[h]:mm"),G8-C8)</f>
        <v>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45891</v>
      </c>
      <c r="B9" s="85" t="s">
        <v>11</v>
      </c>
      <c r="C9" s="158"/>
      <c r="D9" s="159"/>
      <c r="E9" s="159"/>
      <c r="F9" s="160"/>
      <c r="G9" s="62">
        <f t="shared" ref="G9:G13" si="1">IF(OR(ISBLANK(D9),ISBLANK(E9)),0,E9-D9-F9)</f>
        <v>0</v>
      </c>
      <c r="H9" s="150" t="s">
        <v>49</v>
      </c>
      <c r="I9" s="12">
        <f t="shared" ref="I9:I13" si="2">IF((G9-C9)&lt;0,TEXT(C9-G9,"-[h]:mm"),G9-C9)</f>
        <v>0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158"/>
      <c r="D10" s="159"/>
      <c r="E10" s="159"/>
      <c r="F10" s="160"/>
      <c r="G10" s="62">
        <f t="shared" si="1"/>
        <v>0</v>
      </c>
      <c r="H10" s="150" t="s">
        <v>49</v>
      </c>
      <c r="I10" s="12">
        <f t="shared" si="2"/>
        <v>0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158"/>
      <c r="D11" s="159"/>
      <c r="E11" s="159"/>
      <c r="F11" s="160"/>
      <c r="G11" s="62">
        <f t="shared" si="1"/>
        <v>0</v>
      </c>
      <c r="H11" s="150" t="s">
        <v>49</v>
      </c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29-32'!A30+3</f>
        <v>45887</v>
      </c>
      <c r="B12" s="85" t="s">
        <v>2</v>
      </c>
      <c r="C12" s="158"/>
      <c r="D12" s="159"/>
      <c r="E12" s="159"/>
      <c r="F12" s="160"/>
      <c r="G12" s="100">
        <f t="shared" si="1"/>
        <v>0</v>
      </c>
      <c r="H12" s="150" t="s">
        <v>49</v>
      </c>
      <c r="I12" s="12">
        <f t="shared" si="2"/>
        <v>0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29-32'!A35+1</f>
        <v>33</v>
      </c>
      <c r="B14" s="7" t="s">
        <v>10</v>
      </c>
      <c r="C14" s="73">
        <f>SUM(C8:C13)</f>
        <v>0</v>
      </c>
      <c r="D14" s="69"/>
      <c r="E14" s="69"/>
      <c r="F14" s="91">
        <f>SUM(F8:F13)</f>
        <v>0</v>
      </c>
      <c r="G14" s="71">
        <f>SUM(G8:G13)</f>
        <v>0</v>
      </c>
      <c r="H14" s="153"/>
      <c r="I14" s="92">
        <f>IF((G14-C14+J14)&lt;0,TEXT(C14-G14-J14,"-[h]:mm"),G14-C14+J14)</f>
        <v>0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0.48333333333333739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x14ac:dyDescent="0.25">
      <c r="A15" s="140"/>
      <c r="B15" s="84" t="s">
        <v>0</v>
      </c>
      <c r="C15" s="56"/>
      <c r="D15" s="57"/>
      <c r="E15" s="57"/>
      <c r="F15" s="58"/>
      <c r="G15" s="59">
        <f>IF(OR(ISBLANK(D15),ISBLANK(E15)),0,E15-D15-F15)</f>
        <v>0</v>
      </c>
      <c r="H15" s="150"/>
      <c r="I15" s="11">
        <f t="shared" ref="I15:I20" si="4">IF((G15-C15)&lt;0,TEXT(C15-G15,"-[h]:mm"),G15-C15)</f>
        <v>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x14ac:dyDescent="0.25">
      <c r="A16" s="213">
        <f>A19+4</f>
        <v>45898</v>
      </c>
      <c r="B16" s="95" t="s">
        <v>11</v>
      </c>
      <c r="C16" s="61"/>
      <c r="D16" s="108"/>
      <c r="E16" s="108"/>
      <c r="F16" s="109"/>
      <c r="G16" s="62">
        <f t="shared" ref="G16:G19" si="5">IF(OR(ISBLANK(D16),ISBLANK(E16)),0,E16-D16-F16)</f>
        <v>0</v>
      </c>
      <c r="H16" s="151"/>
      <c r="I16" s="12">
        <f t="shared" si="4"/>
        <v>0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x14ac:dyDescent="0.25">
      <c r="A17" s="213"/>
      <c r="B17" s="95" t="s">
        <v>12</v>
      </c>
      <c r="C17" s="61"/>
      <c r="D17" s="108"/>
      <c r="E17" s="108"/>
      <c r="F17" s="109"/>
      <c r="G17" s="62">
        <f t="shared" si="5"/>
        <v>0</v>
      </c>
      <c r="H17" s="151"/>
      <c r="I17" s="12">
        <f t="shared" si="4"/>
        <v>0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x14ac:dyDescent="0.25">
      <c r="A18" s="141" t="s">
        <v>45</v>
      </c>
      <c r="B18" s="95" t="s">
        <v>1</v>
      </c>
      <c r="C18" s="61"/>
      <c r="D18" s="108"/>
      <c r="E18" s="108"/>
      <c r="F18" s="109"/>
      <c r="G18" s="62">
        <f t="shared" si="5"/>
        <v>0</v>
      </c>
      <c r="H18" s="151"/>
      <c r="I18" s="12">
        <f t="shared" si="4"/>
        <v>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45894</v>
      </c>
      <c r="B19" s="95" t="s">
        <v>2</v>
      </c>
      <c r="C19" s="97"/>
      <c r="D19" s="98"/>
      <c r="E19" s="98"/>
      <c r="F19" s="99"/>
      <c r="G19" s="62">
        <f t="shared" si="5"/>
        <v>0</v>
      </c>
      <c r="H19" s="151"/>
      <c r="I19" s="12">
        <f t="shared" si="4"/>
        <v>0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34</v>
      </c>
      <c r="B21" s="104" t="s">
        <v>10</v>
      </c>
      <c r="C21" s="105">
        <f>SUM(C15:C20)</f>
        <v>0</v>
      </c>
      <c r="D21" s="74"/>
      <c r="E21" s="74"/>
      <c r="F21" s="91">
        <f>SUM(F15:F20)</f>
        <v>0</v>
      </c>
      <c r="G21" s="71">
        <f>SUM(G15:G20)</f>
        <v>0</v>
      </c>
      <c r="H21" s="153"/>
      <c r="I21" s="92">
        <f>IF((G21-C21+J21)&lt;0,TEXT(C21-G21-J21,"-[h]:mm"),G21-C21+J21)</f>
        <v>0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0.48333333333333739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x14ac:dyDescent="0.25">
      <c r="A22" s="140"/>
      <c r="B22" s="84" t="s">
        <v>0</v>
      </c>
      <c r="C22" s="56"/>
      <c r="D22" s="57"/>
      <c r="E22" s="57"/>
      <c r="F22" s="58"/>
      <c r="G22" s="59">
        <f>IF(OR(ISBLANK(D22),ISBLANK(E22)),0,E22-D22-F22)</f>
        <v>0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x14ac:dyDescent="0.25">
      <c r="A23" s="213">
        <f>A26+4</f>
        <v>45905</v>
      </c>
      <c r="B23" s="95" t="s">
        <v>11</v>
      </c>
      <c r="C23" s="61"/>
      <c r="D23" s="108"/>
      <c r="E23" s="108"/>
      <c r="F23" s="109"/>
      <c r="G23" s="62">
        <f t="shared" ref="G23:G27" si="9">IF(OR(ISBLANK(D23),ISBLANK(E23)),0,E23-D23-F23)</f>
        <v>0</v>
      </c>
      <c r="H23" s="151"/>
      <c r="I23" s="12">
        <f t="shared" si="8"/>
        <v>0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x14ac:dyDescent="0.25">
      <c r="A24" s="213"/>
      <c r="B24" s="95" t="s">
        <v>12</v>
      </c>
      <c r="C24" s="61"/>
      <c r="D24" s="108"/>
      <c r="E24" s="108"/>
      <c r="F24" s="109"/>
      <c r="G24" s="62">
        <f t="shared" si="9"/>
        <v>0</v>
      </c>
      <c r="H24" s="151"/>
      <c r="I24" s="12">
        <f t="shared" si="8"/>
        <v>0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x14ac:dyDescent="0.25">
      <c r="A25" s="141" t="s">
        <v>45</v>
      </c>
      <c r="B25" s="95" t="s">
        <v>1</v>
      </c>
      <c r="C25" s="61"/>
      <c r="D25" s="108"/>
      <c r="E25" s="108"/>
      <c r="F25" s="109"/>
      <c r="G25" s="62">
        <f t="shared" si="9"/>
        <v>0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45901</v>
      </c>
      <c r="B26" s="95" t="s">
        <v>2</v>
      </c>
      <c r="C26" s="97"/>
      <c r="D26" s="98"/>
      <c r="E26" s="98"/>
      <c r="F26" s="99"/>
      <c r="G26" s="62">
        <f t="shared" si="9"/>
        <v>0</v>
      </c>
      <c r="H26" s="151"/>
      <c r="I26" s="12">
        <f t="shared" si="8"/>
        <v>0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35</v>
      </c>
      <c r="B28" s="104" t="s">
        <v>10</v>
      </c>
      <c r="C28" s="105">
        <f>SUM(C22:C27)</f>
        <v>0</v>
      </c>
      <c r="D28" s="74"/>
      <c r="E28" s="74"/>
      <c r="F28" s="91">
        <f>SUM(F22:F27)</f>
        <v>0</v>
      </c>
      <c r="G28" s="71">
        <f>SUM(G22:G27)</f>
        <v>0</v>
      </c>
      <c r="H28" s="153"/>
      <c r="I28" s="92">
        <f>IF((G28-C28+J28)&lt;0,TEXT(C28-G28-J28,"-[h]:mm"),G28-C28+J28)</f>
        <v>0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x14ac:dyDescent="0.25">
      <c r="A29" s="140"/>
      <c r="B29" s="84" t="s">
        <v>0</v>
      </c>
      <c r="C29" s="56"/>
      <c r="D29" s="57"/>
      <c r="E29" s="57"/>
      <c r="F29" s="58"/>
      <c r="G29" s="59">
        <f>IF(OR(ISBLANK(D29),ISBLANK(E29)),0,E29-D29-F29)</f>
        <v>0</v>
      </c>
      <c r="H29" s="150"/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x14ac:dyDescent="0.25">
      <c r="A30" s="213">
        <f>A33+4</f>
        <v>45912</v>
      </c>
      <c r="B30" s="95" t="s">
        <v>11</v>
      </c>
      <c r="C30" s="61"/>
      <c r="D30" s="108"/>
      <c r="E30" s="108"/>
      <c r="F30" s="109"/>
      <c r="G30" s="62">
        <f t="shared" ref="G30:G34" si="11">IF(OR(ISBLANK(D30),ISBLANK(E30)),0,E30-D30-F30)</f>
        <v>0</v>
      </c>
      <c r="H30" s="151"/>
      <c r="I30" s="12">
        <f>IF((G30-C30)&lt;0,TEXT(C30-G30,"-[h]:mm"),G30-C30)</f>
        <v>0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x14ac:dyDescent="0.25">
      <c r="A31" s="213"/>
      <c r="B31" s="95" t="s">
        <v>12</v>
      </c>
      <c r="C31" s="61"/>
      <c r="D31" s="108"/>
      <c r="E31" s="108"/>
      <c r="F31" s="109"/>
      <c r="G31" s="62">
        <f t="shared" si="11"/>
        <v>0</v>
      </c>
      <c r="H31" s="151"/>
      <c r="I31" s="12">
        <f>IF((G31-C31)&lt;0,TEXT(C31-G31,"-[h]:mm"),G31-C31)</f>
        <v>0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x14ac:dyDescent="0.25">
      <c r="A32" s="141" t="s">
        <v>45</v>
      </c>
      <c r="B32" s="95" t="s">
        <v>1</v>
      </c>
      <c r="C32" s="61"/>
      <c r="D32" s="108"/>
      <c r="E32" s="108"/>
      <c r="F32" s="109"/>
      <c r="G32" s="62">
        <f t="shared" si="11"/>
        <v>0</v>
      </c>
      <c r="H32" s="151"/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45908</v>
      </c>
      <c r="B33" s="95" t="s">
        <v>2</v>
      </c>
      <c r="C33" s="97"/>
      <c r="D33" s="98"/>
      <c r="E33" s="98"/>
      <c r="F33" s="99"/>
      <c r="G33" s="62">
        <f t="shared" si="11"/>
        <v>0</v>
      </c>
      <c r="H33" s="151"/>
      <c r="I33" s="12">
        <f t="shared" ref="I33:I34" si="12">IF((G33-C33)&lt;0,TEXT(C33-G33,"-[hh]:mm"),G33-C33)</f>
        <v>0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36</v>
      </c>
      <c r="B35" s="104" t="s">
        <v>10</v>
      </c>
      <c r="C35" s="73">
        <f>SUM(C29:C34)</f>
        <v>0</v>
      </c>
      <c r="D35" s="74"/>
      <c r="E35" s="74"/>
      <c r="F35" s="91">
        <f>SUM(F29:F34)</f>
        <v>0</v>
      </c>
      <c r="G35" s="71">
        <f>SUM(G29:G34)</f>
        <v>0</v>
      </c>
      <c r="H35" s="153"/>
      <c r="I35" s="92">
        <f>IF((G35-C35+J35)&lt;0,TEXT(C35-G35-J35,"-[h]:mm"),G35-C35+J35)</f>
        <v>0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0</v>
      </c>
      <c r="D36" s="23"/>
      <c r="E36" s="23"/>
      <c r="F36" s="23"/>
      <c r="G36" s="6">
        <f>G14+G21+G28+G35</f>
        <v>0</v>
      </c>
      <c r="H36" s="154"/>
      <c r="I36" s="14">
        <f>IF((G36-C36+J36)&lt;0,TEXT(C36-G36-J36,"-[h]:mm"),G36-C36+J36)</f>
        <v>0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0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AdrXGsda/x0jepK5zwf+2mMdVemk0ZH+SxSek0YTiqck21FE+ZoM7QMhp/U3onQqWDEENNVvncdKlqzTUTj5DA==" saltValue="TFfiFaaCbDAZd/bZhf4snQ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9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8ED4711-A791-4F38-924E-0CF906C05414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>
    <pageSetUpPr fitToPage="1"/>
  </sheetPr>
  <dimension ref="A1:W41"/>
  <sheetViews>
    <sheetView topLeftCell="A19" zoomScale="141" zoomScaleNormal="100" zoomScaleSheetLayoutView="75" workbookViewId="0">
      <selection activeCell="C29" sqref="C29:F33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33-36'!K36</f>
        <v>0.48333333333333739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33-36'!I35</f>
        <v>0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0.48333333333333739</v>
      </c>
      <c r="L6" s="51">
        <f>IF(LEFT(K14,1)="-",RIGHT(K14,LEN(K14)-1),K14)</f>
        <v>0.48333333333333739</v>
      </c>
      <c r="M6" s="51">
        <f>IF(LEFT(K21,1)="-",RIGHT(K21,LEN(K21)-1),K21)</f>
        <v>0.48333333333333739</v>
      </c>
      <c r="N6" s="51">
        <f>IF(LEFT(K28,1)="-",RIGHT(K28,LEN(K28)-1),K28)</f>
        <v>0.48333333333333739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56"/>
      <c r="D8" s="57"/>
      <c r="E8" s="57"/>
      <c r="F8" s="58"/>
      <c r="G8" s="59">
        <f>IF(OR(ISBLANK(D8),ISBLANK(E8)),0,E8-D8-F8)</f>
        <v>0</v>
      </c>
      <c r="H8" s="150"/>
      <c r="I8" s="11">
        <f>IF((G8-C8)&lt;0,TEXT(C8-G8,"-[h]:mm"),G8-C8)</f>
        <v>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 t="s">
        <v>56</v>
      </c>
      <c r="Q8" s="175"/>
      <c r="R8" s="176"/>
    </row>
    <row r="9" spans="1:20" ht="26.7" customHeight="1" thickBot="1" x14ac:dyDescent="0.3">
      <c r="A9" s="213">
        <f>A12+4</f>
        <v>45919</v>
      </c>
      <c r="B9" s="85" t="s">
        <v>11</v>
      </c>
      <c r="C9" s="56"/>
      <c r="D9" s="57"/>
      <c r="E9" s="57"/>
      <c r="F9" s="58"/>
      <c r="G9" s="62">
        <f t="shared" ref="G9:G13" si="1">IF(OR(ISBLANK(D9),ISBLANK(E9)),0,E9-D9-F9)</f>
        <v>0</v>
      </c>
      <c r="H9" s="151"/>
      <c r="I9" s="12">
        <f t="shared" ref="I9:I13" si="2">IF((G9-C9)&lt;0,TEXT(C9-G9,"-[h]:mm"),G9-C9)</f>
        <v>0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56"/>
      <c r="D10" s="57"/>
      <c r="E10" s="57"/>
      <c r="F10" s="58"/>
      <c r="G10" s="62">
        <f t="shared" si="1"/>
        <v>0</v>
      </c>
      <c r="H10" s="151"/>
      <c r="I10" s="12">
        <f t="shared" si="2"/>
        <v>0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56"/>
      <c r="D11" s="57"/>
      <c r="E11" s="57"/>
      <c r="F11" s="58"/>
      <c r="G11" s="62">
        <f t="shared" si="1"/>
        <v>0</v>
      </c>
      <c r="H11" s="151"/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33-36'!A30+3</f>
        <v>45915</v>
      </c>
      <c r="B12" s="85" t="s">
        <v>2</v>
      </c>
      <c r="C12" s="56"/>
      <c r="D12" s="57"/>
      <c r="E12" s="57"/>
      <c r="F12" s="58"/>
      <c r="G12" s="100">
        <f t="shared" si="1"/>
        <v>0</v>
      </c>
      <c r="H12" s="151"/>
      <c r="I12" s="12">
        <f t="shared" si="2"/>
        <v>0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33-36'!A35+1</f>
        <v>37</v>
      </c>
      <c r="B14" s="7" t="s">
        <v>10</v>
      </c>
      <c r="C14" s="73">
        <f>SUM(C8:C13)</f>
        <v>0</v>
      </c>
      <c r="D14" s="69"/>
      <c r="E14" s="69"/>
      <c r="F14" s="91">
        <f>SUM(F8:F13)</f>
        <v>0</v>
      </c>
      <c r="G14" s="71">
        <f>SUM(G8:G13)</f>
        <v>0</v>
      </c>
      <c r="H14" s="153"/>
      <c r="I14" s="92">
        <f>IF((G14-C14+J14)&lt;0,TEXT(C14-G14-J14,"-[h]:mm"),G14-C14+J14)</f>
        <v>0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0.48333333333333739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x14ac:dyDescent="0.25">
      <c r="A15" s="140"/>
      <c r="B15" s="84" t="s">
        <v>0</v>
      </c>
      <c r="C15" s="56"/>
      <c r="D15" s="57"/>
      <c r="E15" s="57"/>
      <c r="F15" s="58"/>
      <c r="G15" s="59">
        <f>IF(OR(ISBLANK(D15),ISBLANK(E15)),0,E15-D15-F15)</f>
        <v>0</v>
      </c>
      <c r="H15" s="150"/>
      <c r="I15" s="11">
        <f t="shared" ref="I15:I20" si="4">IF((G15-C15)&lt;0,TEXT(C15-G15,"-[h]:mm"),G15-C15)</f>
        <v>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x14ac:dyDescent="0.25">
      <c r="A16" s="213">
        <f>A19+4</f>
        <v>45926</v>
      </c>
      <c r="B16" s="95" t="s">
        <v>11</v>
      </c>
      <c r="C16" s="61"/>
      <c r="D16" s="108"/>
      <c r="E16" s="108"/>
      <c r="F16" s="109"/>
      <c r="G16" s="62">
        <f t="shared" ref="G16:G19" si="5">IF(OR(ISBLANK(D16),ISBLANK(E16)),0,E16-D16-F16)</f>
        <v>0</v>
      </c>
      <c r="H16" s="151"/>
      <c r="I16" s="12">
        <f t="shared" si="4"/>
        <v>0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x14ac:dyDescent="0.25">
      <c r="A17" s="213"/>
      <c r="B17" s="95" t="s">
        <v>12</v>
      </c>
      <c r="C17" s="61"/>
      <c r="D17" s="108"/>
      <c r="E17" s="108"/>
      <c r="F17" s="109"/>
      <c r="G17" s="62">
        <f t="shared" si="5"/>
        <v>0</v>
      </c>
      <c r="H17" s="151"/>
      <c r="I17" s="12">
        <f t="shared" si="4"/>
        <v>0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x14ac:dyDescent="0.25">
      <c r="A18" s="141" t="s">
        <v>45</v>
      </c>
      <c r="B18" s="95" t="s">
        <v>1</v>
      </c>
      <c r="C18" s="61"/>
      <c r="D18" s="108"/>
      <c r="E18" s="108"/>
      <c r="F18" s="109"/>
      <c r="G18" s="62">
        <f t="shared" si="5"/>
        <v>0</v>
      </c>
      <c r="H18" s="151"/>
      <c r="I18" s="12">
        <f t="shared" si="4"/>
        <v>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45922</v>
      </c>
      <c r="B19" s="95" t="s">
        <v>2</v>
      </c>
      <c r="C19" s="97"/>
      <c r="D19" s="98"/>
      <c r="E19" s="98"/>
      <c r="F19" s="99"/>
      <c r="G19" s="62">
        <f t="shared" si="5"/>
        <v>0</v>
      </c>
      <c r="H19" s="151"/>
      <c r="I19" s="12">
        <f t="shared" si="4"/>
        <v>0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38</v>
      </c>
      <c r="B21" s="104" t="s">
        <v>10</v>
      </c>
      <c r="C21" s="105">
        <f>SUM(C15:C20)</f>
        <v>0</v>
      </c>
      <c r="D21" s="74"/>
      <c r="E21" s="74"/>
      <c r="F21" s="91">
        <f>SUM(F15:F20)</f>
        <v>0</v>
      </c>
      <c r="G21" s="71">
        <f>SUM(G15:G20)</f>
        <v>0</v>
      </c>
      <c r="H21" s="153"/>
      <c r="I21" s="92">
        <f>IF((G21-C21+J21)&lt;0,TEXT(C21-G21-J21,"-[h]:mm"),G21-C21+J21)</f>
        <v>0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0.48333333333333739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x14ac:dyDescent="0.25">
      <c r="A22" s="140"/>
      <c r="B22" s="84" t="s">
        <v>0</v>
      </c>
      <c r="C22" s="56"/>
      <c r="D22" s="57"/>
      <c r="E22" s="57"/>
      <c r="F22" s="58"/>
      <c r="G22" s="59">
        <f>IF(OR(ISBLANK(D22),ISBLANK(E22)),0,E22-D22-F22)</f>
        <v>0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x14ac:dyDescent="0.25">
      <c r="A23" s="213">
        <f>A26+4</f>
        <v>45933</v>
      </c>
      <c r="B23" s="95" t="s">
        <v>11</v>
      </c>
      <c r="C23" s="61"/>
      <c r="D23" s="108"/>
      <c r="E23" s="108"/>
      <c r="F23" s="109"/>
      <c r="G23" s="62">
        <f t="shared" ref="G23:G27" si="9">IF(OR(ISBLANK(D23),ISBLANK(E23)),0,E23-D23-F23)</f>
        <v>0</v>
      </c>
      <c r="H23" s="151"/>
      <c r="I23" s="12">
        <f t="shared" si="8"/>
        <v>0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x14ac:dyDescent="0.25">
      <c r="A24" s="213"/>
      <c r="B24" s="95" t="s">
        <v>12</v>
      </c>
      <c r="C24" s="61"/>
      <c r="D24" s="108"/>
      <c r="E24" s="108"/>
      <c r="F24" s="109"/>
      <c r="G24" s="62">
        <f t="shared" si="9"/>
        <v>0</v>
      </c>
      <c r="H24" s="151"/>
      <c r="I24" s="12">
        <f t="shared" si="8"/>
        <v>0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x14ac:dyDescent="0.25">
      <c r="A25" s="141" t="s">
        <v>45</v>
      </c>
      <c r="B25" s="95" t="s">
        <v>1</v>
      </c>
      <c r="C25" s="61"/>
      <c r="D25" s="108"/>
      <c r="E25" s="108"/>
      <c r="F25" s="109"/>
      <c r="G25" s="62">
        <f t="shared" si="9"/>
        <v>0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45929</v>
      </c>
      <c r="B26" s="95" t="s">
        <v>2</v>
      </c>
      <c r="C26" s="97"/>
      <c r="D26" s="98"/>
      <c r="E26" s="98"/>
      <c r="F26" s="99"/>
      <c r="G26" s="62">
        <f t="shared" si="9"/>
        <v>0</v>
      </c>
      <c r="H26" s="151"/>
      <c r="I26" s="12">
        <f t="shared" si="8"/>
        <v>0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39</v>
      </c>
      <c r="B28" s="104" t="s">
        <v>10</v>
      </c>
      <c r="C28" s="105">
        <f>SUM(C22:C27)</f>
        <v>0</v>
      </c>
      <c r="D28" s="74"/>
      <c r="E28" s="74"/>
      <c r="F28" s="91">
        <f>SUM(F22:F27)</f>
        <v>0</v>
      </c>
      <c r="G28" s="71">
        <f>SUM(G22:G27)</f>
        <v>0</v>
      </c>
      <c r="H28" s="153"/>
      <c r="I28" s="92">
        <f>IF((G28-C28+J28)&lt;0,TEXT(C28-G28-J28,"-[h]:mm"),G28-C28+J28)</f>
        <v>0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x14ac:dyDescent="0.25">
      <c r="A29" s="140"/>
      <c r="B29" s="84" t="s">
        <v>0</v>
      </c>
      <c r="C29" s="56"/>
      <c r="D29" s="57"/>
      <c r="E29" s="57"/>
      <c r="F29" s="58"/>
      <c r="G29" s="59">
        <f>IF(OR(ISBLANK(D29),ISBLANK(E29)),0,E29-D29-F29)</f>
        <v>0</v>
      </c>
      <c r="H29" s="150"/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x14ac:dyDescent="0.25">
      <c r="A30" s="213">
        <f>A33+4</f>
        <v>45940</v>
      </c>
      <c r="B30" s="95" t="s">
        <v>11</v>
      </c>
      <c r="C30" s="61"/>
      <c r="D30" s="108"/>
      <c r="E30" s="108"/>
      <c r="F30" s="109"/>
      <c r="G30" s="62">
        <f t="shared" ref="G30:G34" si="11">IF(OR(ISBLANK(D30),ISBLANK(E30)),0,E30-D30-F30)</f>
        <v>0</v>
      </c>
      <c r="H30" s="151"/>
      <c r="I30" s="12">
        <f>IF((G30-C30)&lt;0,TEXT(C30-G30,"-[h]:mm"),G30-C30)</f>
        <v>0</v>
      </c>
      <c r="J30" s="61"/>
      <c r="K30" s="33"/>
      <c r="L30" s="61"/>
      <c r="M30" s="63"/>
      <c r="N30" s="12">
        <f t="shared" si="0"/>
        <v>0</v>
      </c>
      <c r="O30" s="2"/>
      <c r="P30" s="80" t="s">
        <v>57</v>
      </c>
      <c r="Q30" s="173"/>
      <c r="R30" s="174"/>
    </row>
    <row r="31" spans="1:23" ht="26.7" customHeight="1" x14ac:dyDescent="0.25">
      <c r="A31" s="213"/>
      <c r="B31" s="95" t="s">
        <v>12</v>
      </c>
      <c r="C31" s="61"/>
      <c r="D31" s="108"/>
      <c r="E31" s="108"/>
      <c r="F31" s="109"/>
      <c r="G31" s="62">
        <f t="shared" si="11"/>
        <v>0</v>
      </c>
      <c r="H31" s="151"/>
      <c r="I31" s="12">
        <f>IF((G31-C31)&lt;0,TEXT(C31-G31,"-[h]:mm"),G31-C31)</f>
        <v>0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x14ac:dyDescent="0.25">
      <c r="A32" s="141" t="s">
        <v>45</v>
      </c>
      <c r="B32" s="95" t="s">
        <v>1</v>
      </c>
      <c r="C32" s="61"/>
      <c r="D32" s="108"/>
      <c r="E32" s="108"/>
      <c r="F32" s="109"/>
      <c r="G32" s="62">
        <f t="shared" si="11"/>
        <v>0</v>
      </c>
      <c r="H32" s="151" t="s">
        <v>50</v>
      </c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45936</v>
      </c>
      <c r="B33" s="95" t="s">
        <v>2</v>
      </c>
      <c r="C33" s="97"/>
      <c r="D33" s="98"/>
      <c r="E33" s="98"/>
      <c r="F33" s="99"/>
      <c r="G33" s="62">
        <f t="shared" si="11"/>
        <v>0</v>
      </c>
      <c r="H33" s="151"/>
      <c r="I33" s="12">
        <f t="shared" ref="I33:I34" si="12">IF((G33-C33)&lt;0,TEXT(C33-G33,"-[hh]:mm"),G33-C33)</f>
        <v>0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40</v>
      </c>
      <c r="B35" s="104" t="s">
        <v>10</v>
      </c>
      <c r="C35" s="73">
        <f>SUM(C29:C34)</f>
        <v>0</v>
      </c>
      <c r="D35" s="74"/>
      <c r="E35" s="74"/>
      <c r="F35" s="91">
        <f>SUM(F29:F34)</f>
        <v>0</v>
      </c>
      <c r="G35" s="71">
        <f>SUM(G29:G34)</f>
        <v>0</v>
      </c>
      <c r="H35" s="153"/>
      <c r="I35" s="92">
        <f>IF((G35-C35+J35)&lt;0,TEXT(C35-G35-J35,"-[h]:mm"),G35-C35+J35)</f>
        <v>0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0</v>
      </c>
      <c r="D36" s="23"/>
      <c r="E36" s="23"/>
      <c r="F36" s="23"/>
      <c r="G36" s="6">
        <f>G14+G21+G28+G35</f>
        <v>0</v>
      </c>
      <c r="H36" s="154"/>
      <c r="I36" s="14">
        <f>IF((G36-C36+J36)&lt;0,TEXT(C36-G36-J36,"-[h]:mm"),G36-C36+J36)</f>
        <v>0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0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B5jl49dssNjTmqdJTsMO6OUJX7xHGcqQgTdEuMZK3+k+ULbLNDkG2JQEyCbyiOAnNulcAfUI7O+TdeRSRaPgWg==" saltValue="aMEmykM8h1K8g6VGmXW8jA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B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C5E9865-83A7-449E-836F-BFE19B9D3E36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>
    <pageSetUpPr fitToPage="1"/>
  </sheetPr>
  <dimension ref="A1:W41"/>
  <sheetViews>
    <sheetView topLeftCell="A28" zoomScale="184" zoomScaleNormal="100" zoomScaleSheetLayoutView="75" workbookViewId="0">
      <selection activeCell="P33" sqref="P33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37-40'!K36</f>
        <v>0.48333333333333739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37-40'!I35</f>
        <v>0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0.48333333333333739</v>
      </c>
      <c r="L6" s="51">
        <f>IF(LEFT(K14,1)="-",RIGHT(K14,LEN(K14)-1),K14)</f>
        <v>0.48333333333333739</v>
      </c>
      <c r="M6" s="51">
        <f>IF(LEFT(K21,1)="-",RIGHT(K21,LEN(K21)-1),K21)</f>
        <v>0.48333333333333739</v>
      </c>
      <c r="N6" s="51">
        <f>IF(LEFT(K28,1)="-",RIGHT(K28,LEN(K28)-1),K28)</f>
        <v>0.48333333333333739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thickBot="1" x14ac:dyDescent="0.3">
      <c r="A8" s="140"/>
      <c r="B8" s="84" t="s">
        <v>0</v>
      </c>
      <c r="C8" s="56"/>
      <c r="D8" s="57"/>
      <c r="E8" s="57"/>
      <c r="F8" s="58"/>
      <c r="G8" s="59">
        <f>IF(OR(ISBLANK(D8),ISBLANK(E8)),0,E8-D8-F8)</f>
        <v>0</v>
      </c>
      <c r="H8" s="150"/>
      <c r="I8" s="11">
        <f>IF((G8-C8)&lt;0,TEXT(C8-G8,"-[h]:mm"),G8-C8)</f>
        <v>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thickBot="1" x14ac:dyDescent="0.3">
      <c r="A9" s="213">
        <f>A12+4</f>
        <v>45947</v>
      </c>
      <c r="B9" s="85" t="s">
        <v>11</v>
      </c>
      <c r="C9" s="56"/>
      <c r="D9" s="57"/>
      <c r="E9" s="57"/>
      <c r="F9" s="58"/>
      <c r="G9" s="62">
        <f t="shared" ref="G9:G13" si="1">IF(OR(ISBLANK(D9),ISBLANK(E9)),0,E9-D9-F9)</f>
        <v>0</v>
      </c>
      <c r="H9" s="151"/>
      <c r="I9" s="12">
        <f t="shared" ref="I9:I13" si="2">IF((G9-C9)&lt;0,TEXT(C9-G9,"-[h]:mm"),G9-C9)</f>
        <v>0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thickBot="1" x14ac:dyDescent="0.3">
      <c r="A10" s="213"/>
      <c r="B10" s="85" t="s">
        <v>12</v>
      </c>
      <c r="C10" s="56"/>
      <c r="D10" s="57"/>
      <c r="E10" s="57"/>
      <c r="F10" s="58"/>
      <c r="G10" s="62">
        <f t="shared" si="1"/>
        <v>0</v>
      </c>
      <c r="H10" s="151"/>
      <c r="I10" s="12">
        <f t="shared" si="2"/>
        <v>0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thickBot="1" x14ac:dyDescent="0.3">
      <c r="A11" s="141" t="s">
        <v>45</v>
      </c>
      <c r="B11" s="85" t="s">
        <v>1</v>
      </c>
      <c r="C11" s="56"/>
      <c r="D11" s="57"/>
      <c r="E11" s="57"/>
      <c r="F11" s="58"/>
      <c r="G11" s="62">
        <f t="shared" si="1"/>
        <v>0</v>
      </c>
      <c r="H11" s="151"/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37-40'!A30+3</f>
        <v>45943</v>
      </c>
      <c r="B12" s="85" t="s">
        <v>2</v>
      </c>
      <c r="C12" s="56"/>
      <c r="D12" s="57"/>
      <c r="E12" s="57"/>
      <c r="F12" s="58"/>
      <c r="G12" s="100">
        <f t="shared" si="1"/>
        <v>0</v>
      </c>
      <c r="H12" s="151"/>
      <c r="I12" s="12">
        <f t="shared" si="2"/>
        <v>0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37-40'!A35+1</f>
        <v>41</v>
      </c>
      <c r="B14" s="7" t="s">
        <v>10</v>
      </c>
      <c r="C14" s="73">
        <f>SUM(C8:C13)</f>
        <v>0</v>
      </c>
      <c r="D14" s="69"/>
      <c r="E14" s="69"/>
      <c r="F14" s="91">
        <f>SUM(F8:F13)</f>
        <v>0</v>
      </c>
      <c r="G14" s="71">
        <f>SUM(G8:G13)</f>
        <v>0</v>
      </c>
      <c r="H14" s="153"/>
      <c r="I14" s="92">
        <f>IF((G14-C14+J14)&lt;0,TEXT(C14-G14-J14,"-[h]:mm"),G14-C14+J14)</f>
        <v>0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0.48333333333333739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x14ac:dyDescent="0.25">
      <c r="A15" s="140"/>
      <c r="B15" s="84" t="s">
        <v>0</v>
      </c>
      <c r="C15" s="56"/>
      <c r="D15" s="57"/>
      <c r="E15" s="57"/>
      <c r="F15" s="58"/>
      <c r="G15" s="59">
        <f>IF(OR(ISBLANK(D15),ISBLANK(E15)),0,E15-D15-F15)</f>
        <v>0</v>
      </c>
      <c r="H15" s="150"/>
      <c r="I15" s="11">
        <f t="shared" ref="I15:I20" si="4">IF((G15-C15)&lt;0,TEXT(C15-G15,"-[h]:mm"),G15-C15)</f>
        <v>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x14ac:dyDescent="0.25">
      <c r="A16" s="213">
        <f>A19+4</f>
        <v>45954</v>
      </c>
      <c r="B16" s="95" t="s">
        <v>11</v>
      </c>
      <c r="C16" s="61"/>
      <c r="D16" s="108"/>
      <c r="E16" s="108"/>
      <c r="F16" s="109"/>
      <c r="G16" s="62">
        <f t="shared" ref="G16:G19" si="5">IF(OR(ISBLANK(D16),ISBLANK(E16)),0,E16-D16-F16)</f>
        <v>0</v>
      </c>
      <c r="H16" s="151"/>
      <c r="I16" s="12">
        <f t="shared" si="4"/>
        <v>0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x14ac:dyDescent="0.25">
      <c r="A17" s="213"/>
      <c r="B17" s="95" t="s">
        <v>12</v>
      </c>
      <c r="C17" s="61"/>
      <c r="D17" s="108"/>
      <c r="E17" s="108"/>
      <c r="F17" s="109"/>
      <c r="G17" s="62">
        <f t="shared" si="5"/>
        <v>0</v>
      </c>
      <c r="H17" s="151"/>
      <c r="I17" s="12">
        <f t="shared" si="4"/>
        <v>0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x14ac:dyDescent="0.25">
      <c r="A18" s="141" t="s">
        <v>45</v>
      </c>
      <c r="B18" s="95" t="s">
        <v>1</v>
      </c>
      <c r="C18" s="61"/>
      <c r="D18" s="108"/>
      <c r="E18" s="108"/>
      <c r="F18" s="109"/>
      <c r="G18" s="62">
        <f t="shared" si="5"/>
        <v>0</v>
      </c>
      <c r="H18" s="151"/>
      <c r="I18" s="12">
        <f t="shared" si="4"/>
        <v>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45950</v>
      </c>
      <c r="B19" s="95" t="s">
        <v>2</v>
      </c>
      <c r="C19" s="97"/>
      <c r="D19" s="98"/>
      <c r="E19" s="98"/>
      <c r="F19" s="99"/>
      <c r="G19" s="62">
        <f t="shared" si="5"/>
        <v>0</v>
      </c>
      <c r="H19" s="151"/>
      <c r="I19" s="12">
        <f t="shared" si="4"/>
        <v>0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42</v>
      </c>
      <c r="B21" s="104" t="s">
        <v>10</v>
      </c>
      <c r="C21" s="105">
        <f>SUM(C15:C20)</f>
        <v>0</v>
      </c>
      <c r="D21" s="74"/>
      <c r="E21" s="74"/>
      <c r="F21" s="91">
        <f>SUM(F15:F20)</f>
        <v>0</v>
      </c>
      <c r="G21" s="71">
        <f>SUM(G15:G20)</f>
        <v>0</v>
      </c>
      <c r="H21" s="153"/>
      <c r="I21" s="92">
        <f>IF((G21-C21+J21)&lt;0,TEXT(C21-G21-J21,"-[h]:mm"),G21-C21+J21)</f>
        <v>0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0.48333333333333739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x14ac:dyDescent="0.25">
      <c r="A22" s="140"/>
      <c r="B22" s="84" t="s">
        <v>0</v>
      </c>
      <c r="C22" s="56"/>
      <c r="D22" s="57"/>
      <c r="E22" s="57"/>
      <c r="F22" s="58"/>
      <c r="G22" s="59">
        <f>IF(OR(ISBLANK(D22),ISBLANK(E22)),0,E22-D22-F22)</f>
        <v>0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x14ac:dyDescent="0.25">
      <c r="A23" s="213">
        <f>A26+4</f>
        <v>45961</v>
      </c>
      <c r="B23" s="95" t="s">
        <v>11</v>
      </c>
      <c r="C23" s="61"/>
      <c r="D23" s="108"/>
      <c r="E23" s="108"/>
      <c r="F23" s="109"/>
      <c r="G23" s="62">
        <f t="shared" ref="G23:G27" si="9">IF(OR(ISBLANK(D23),ISBLANK(E23)),0,E23-D23-F23)</f>
        <v>0</v>
      </c>
      <c r="H23" s="151"/>
      <c r="I23" s="12">
        <f t="shared" si="8"/>
        <v>0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x14ac:dyDescent="0.25">
      <c r="A24" s="213"/>
      <c r="B24" s="95" t="s">
        <v>12</v>
      </c>
      <c r="C24" s="61"/>
      <c r="D24" s="108"/>
      <c r="E24" s="108"/>
      <c r="F24" s="109"/>
      <c r="G24" s="62">
        <f t="shared" si="9"/>
        <v>0</v>
      </c>
      <c r="H24" s="151"/>
      <c r="I24" s="12">
        <f t="shared" si="8"/>
        <v>0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x14ac:dyDescent="0.25">
      <c r="A25" s="141" t="s">
        <v>45</v>
      </c>
      <c r="B25" s="95" t="s">
        <v>1</v>
      </c>
      <c r="C25" s="61"/>
      <c r="D25" s="108"/>
      <c r="E25" s="108"/>
      <c r="F25" s="109"/>
      <c r="G25" s="62">
        <f t="shared" si="9"/>
        <v>0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45957</v>
      </c>
      <c r="B26" s="95" t="s">
        <v>2</v>
      </c>
      <c r="C26" s="97"/>
      <c r="D26" s="98"/>
      <c r="E26" s="98"/>
      <c r="F26" s="99"/>
      <c r="G26" s="62">
        <f t="shared" si="9"/>
        <v>0</v>
      </c>
      <c r="H26" s="151"/>
      <c r="I26" s="12">
        <f t="shared" si="8"/>
        <v>0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43</v>
      </c>
      <c r="B28" s="104" t="s">
        <v>10</v>
      </c>
      <c r="C28" s="105">
        <f>SUM(C22:C27)</f>
        <v>0</v>
      </c>
      <c r="D28" s="74"/>
      <c r="E28" s="74"/>
      <c r="F28" s="91">
        <f>SUM(F22:F27)</f>
        <v>0</v>
      </c>
      <c r="G28" s="71">
        <f>SUM(G22:G27)</f>
        <v>0</v>
      </c>
      <c r="H28" s="153"/>
      <c r="I28" s="92">
        <f>IF((G28-C28+J28)&lt;0,TEXT(C28-G28-J28,"-[h]:mm"),G28-C28+J28)</f>
        <v>0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x14ac:dyDescent="0.25">
      <c r="A29" s="140"/>
      <c r="B29" s="84" t="s">
        <v>0</v>
      </c>
      <c r="C29" s="56"/>
      <c r="D29" s="57"/>
      <c r="E29" s="57"/>
      <c r="F29" s="58"/>
      <c r="G29" s="59">
        <f>IF(OR(ISBLANK(D29),ISBLANK(E29)),0,E29-D29-F29)</f>
        <v>0</v>
      </c>
      <c r="H29" s="150"/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x14ac:dyDescent="0.25">
      <c r="A30" s="213">
        <f>A33+4</f>
        <v>45968</v>
      </c>
      <c r="B30" s="95" t="s">
        <v>11</v>
      </c>
      <c r="C30" s="61"/>
      <c r="D30" s="108"/>
      <c r="E30" s="108"/>
      <c r="F30" s="109"/>
      <c r="G30" s="62">
        <f t="shared" ref="G30:G34" si="11">IF(OR(ISBLANK(D30),ISBLANK(E30)),0,E30-D30-F30)</f>
        <v>0</v>
      </c>
      <c r="H30" s="151"/>
      <c r="I30" s="12">
        <f>IF((G30-C30)&lt;0,TEXT(C30-G30,"-[h]:mm"),G30-C30)</f>
        <v>0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x14ac:dyDescent="0.25">
      <c r="A31" s="213"/>
      <c r="B31" s="95" t="s">
        <v>12</v>
      </c>
      <c r="C31" s="61"/>
      <c r="D31" s="108"/>
      <c r="E31" s="108"/>
      <c r="F31" s="109"/>
      <c r="G31" s="62">
        <f t="shared" si="11"/>
        <v>0</v>
      </c>
      <c r="H31" s="151"/>
      <c r="I31" s="12">
        <f>IF((G31-C31)&lt;0,TEXT(C31-G31,"-[h]:mm"),G31-C31)</f>
        <v>0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x14ac:dyDescent="0.25">
      <c r="A32" s="141" t="s">
        <v>45</v>
      </c>
      <c r="B32" s="95" t="s">
        <v>1</v>
      </c>
      <c r="C32" s="61"/>
      <c r="D32" s="108"/>
      <c r="E32" s="108"/>
      <c r="F32" s="109"/>
      <c r="G32" s="62">
        <f t="shared" si="11"/>
        <v>0</v>
      </c>
      <c r="H32" s="151"/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45964</v>
      </c>
      <c r="B33" s="95" t="s">
        <v>2</v>
      </c>
      <c r="C33" s="97"/>
      <c r="D33" s="98"/>
      <c r="E33" s="98"/>
      <c r="F33" s="99"/>
      <c r="G33" s="62">
        <f t="shared" si="11"/>
        <v>0</v>
      </c>
      <c r="H33" s="151"/>
      <c r="I33" s="12">
        <f t="shared" ref="I33:I34" si="12">IF((G33-C33)&lt;0,TEXT(C33-G33,"-[hh]:mm"),G33-C33)</f>
        <v>0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44</v>
      </c>
      <c r="B35" s="104" t="s">
        <v>10</v>
      </c>
      <c r="C35" s="73">
        <f>SUM(C29:C34)</f>
        <v>0</v>
      </c>
      <c r="D35" s="74"/>
      <c r="E35" s="74"/>
      <c r="F35" s="91">
        <f>SUM(F29:F34)</f>
        <v>0</v>
      </c>
      <c r="G35" s="71">
        <f>SUM(G29:G34)</f>
        <v>0</v>
      </c>
      <c r="H35" s="153"/>
      <c r="I35" s="92">
        <f>IF((G35-C35+J35)&lt;0,TEXT(C35-G35-J35,"-[h]:mm"),G35-C35+J35)</f>
        <v>0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0</v>
      </c>
      <c r="D36" s="23"/>
      <c r="E36" s="23"/>
      <c r="F36" s="23"/>
      <c r="G36" s="6">
        <f>G14+G21+G28+G35</f>
        <v>0</v>
      </c>
      <c r="H36" s="154"/>
      <c r="I36" s="14">
        <f>IF((G36-C36+J36)&lt;0,TEXT(C36-G36-J36,"-[h]:mm"),G36-C36+J36)</f>
        <v>0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0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oTC3/95SGncHSq3Ra15WvzKsEUEneZBYrZMk8Mla3BDno6tLqdKQX3E5Di1EPc4dgxAQn0ZIQg3WoKFNl7IDGw==" saltValue="HUFmyNmA6HnO0oHvL1hbaQ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A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BB42347-39F4-44FC-966F-6AC2FBAE9C6D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>
    <pageSetUpPr fitToPage="1"/>
  </sheetPr>
  <dimension ref="A1:W41"/>
  <sheetViews>
    <sheetView topLeftCell="A20" zoomScale="140" zoomScaleNormal="100" zoomScaleSheetLayoutView="75" workbookViewId="0">
      <selection activeCell="H30" sqref="H30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41-44'!K36</f>
        <v>0.48333333333333739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41-44'!I35</f>
        <v>0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0.48333333333333739</v>
      </c>
      <c r="L6" s="51">
        <f>IF(LEFT(K14,1)="-",RIGHT(K14,LEN(K14)-1),K14)</f>
        <v>0.48333333333333739</v>
      </c>
      <c r="M6" s="51">
        <f>IF(LEFT(K21,1)="-",RIGHT(K21,LEN(K21)-1),K21)</f>
        <v>0.48333333333333739</v>
      </c>
      <c r="N6" s="51">
        <f>IF(LEFT(K28,1)="-",RIGHT(K28,LEN(K28)-1),K28)</f>
        <v>0.48333333333333739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x14ac:dyDescent="0.25">
      <c r="A8" s="140"/>
      <c r="B8" s="84" t="s">
        <v>0</v>
      </c>
      <c r="C8" s="56"/>
      <c r="D8" s="57"/>
      <c r="E8" s="57"/>
      <c r="F8" s="58"/>
      <c r="G8" s="59">
        <f>IF(OR(ISBLANK(D8),ISBLANK(E8)),0,E8-D8-F8)</f>
        <v>0</v>
      </c>
      <c r="H8" s="150" t="s">
        <v>50</v>
      </c>
      <c r="I8" s="11">
        <f>IF((G8-C8)&lt;0,TEXT(C8-G8,"-[h]:mm"),G8-C8)</f>
        <v>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x14ac:dyDescent="0.25">
      <c r="A9" s="213">
        <f>A12+4</f>
        <v>45975</v>
      </c>
      <c r="B9" s="85" t="s">
        <v>11</v>
      </c>
      <c r="C9" s="61"/>
      <c r="D9" s="108"/>
      <c r="E9" s="108"/>
      <c r="F9" s="109"/>
      <c r="G9" s="62">
        <f t="shared" ref="G9:G13" si="1">IF(OR(ISBLANK(D9),ISBLANK(E9)),0,E9-D9-F9)</f>
        <v>0</v>
      </c>
      <c r="H9" s="151"/>
      <c r="I9" s="12">
        <f t="shared" ref="I9:I13" si="2">IF((G9-C9)&lt;0,TEXT(C9-G9,"-[h]:mm"),G9-C9)</f>
        <v>0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x14ac:dyDescent="0.25">
      <c r="A10" s="213"/>
      <c r="B10" s="85" t="s">
        <v>12</v>
      </c>
      <c r="C10" s="61"/>
      <c r="D10" s="108"/>
      <c r="E10" s="108"/>
      <c r="F10" s="109"/>
      <c r="G10" s="62">
        <f t="shared" si="1"/>
        <v>0</v>
      </c>
      <c r="H10" s="151"/>
      <c r="I10" s="12">
        <f t="shared" si="2"/>
        <v>0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x14ac:dyDescent="0.25">
      <c r="A11" s="141" t="s">
        <v>45</v>
      </c>
      <c r="B11" s="85" t="s">
        <v>1</v>
      </c>
      <c r="C11" s="61"/>
      <c r="D11" s="108"/>
      <c r="E11" s="108"/>
      <c r="F11" s="109"/>
      <c r="G11" s="62">
        <f t="shared" si="1"/>
        <v>0</v>
      </c>
      <c r="H11" s="151"/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41-44'!A30+3</f>
        <v>45971</v>
      </c>
      <c r="B12" s="85" t="s">
        <v>2</v>
      </c>
      <c r="C12" s="97"/>
      <c r="D12" s="98"/>
      <c r="E12" s="98"/>
      <c r="F12" s="99"/>
      <c r="G12" s="100">
        <f t="shared" si="1"/>
        <v>0</v>
      </c>
      <c r="H12" s="151"/>
      <c r="I12" s="12">
        <f t="shared" si="2"/>
        <v>0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41-44'!A35+1</f>
        <v>45</v>
      </c>
      <c r="B14" s="7" t="s">
        <v>10</v>
      </c>
      <c r="C14" s="73">
        <f>SUM(C8:C13)</f>
        <v>0</v>
      </c>
      <c r="D14" s="69"/>
      <c r="E14" s="69"/>
      <c r="F14" s="91">
        <f>SUM(F8:F13)</f>
        <v>0</v>
      </c>
      <c r="G14" s="71">
        <f>SUM(G8:G13)</f>
        <v>0</v>
      </c>
      <c r="H14" s="153"/>
      <c r="I14" s="92">
        <f>IF((G14-C14+J14)&lt;0,TEXT(C14-G14-J14,"-[h]:mm"),G14-C14+J14)</f>
        <v>0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0.48333333333333739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x14ac:dyDescent="0.25">
      <c r="A15" s="140"/>
      <c r="B15" s="84" t="s">
        <v>0</v>
      </c>
      <c r="C15" s="56"/>
      <c r="D15" s="57"/>
      <c r="E15" s="57"/>
      <c r="F15" s="58"/>
      <c r="G15" s="59">
        <f>IF(OR(ISBLANK(D15),ISBLANK(E15)),0,E15-D15-F15)</f>
        <v>0</v>
      </c>
      <c r="H15" s="150"/>
      <c r="I15" s="11">
        <f t="shared" ref="I15:I20" si="4">IF((G15-C15)&lt;0,TEXT(C15-G15,"-[h]:mm"),G15-C15)</f>
        <v>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x14ac:dyDescent="0.25">
      <c r="A16" s="213">
        <f>A19+4</f>
        <v>45982</v>
      </c>
      <c r="B16" s="95" t="s">
        <v>11</v>
      </c>
      <c r="C16" s="61"/>
      <c r="D16" s="108"/>
      <c r="E16" s="108"/>
      <c r="F16" s="109"/>
      <c r="G16" s="62">
        <f t="shared" ref="G16:G19" si="5">IF(OR(ISBLANK(D16),ISBLANK(E16)),0,E16-D16-F16)</f>
        <v>0</v>
      </c>
      <c r="H16" s="151"/>
      <c r="I16" s="12">
        <f t="shared" si="4"/>
        <v>0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x14ac:dyDescent="0.25">
      <c r="A17" s="213"/>
      <c r="B17" s="95" t="s">
        <v>12</v>
      </c>
      <c r="C17" s="61"/>
      <c r="D17" s="108"/>
      <c r="E17" s="108"/>
      <c r="F17" s="109"/>
      <c r="G17" s="62">
        <f t="shared" si="5"/>
        <v>0</v>
      </c>
      <c r="H17" s="151"/>
      <c r="I17" s="12">
        <f t="shared" si="4"/>
        <v>0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x14ac:dyDescent="0.25">
      <c r="A18" s="141" t="s">
        <v>45</v>
      </c>
      <c r="B18" s="95" t="s">
        <v>1</v>
      </c>
      <c r="C18" s="61"/>
      <c r="D18" s="108"/>
      <c r="E18" s="108"/>
      <c r="F18" s="109"/>
      <c r="G18" s="62">
        <f t="shared" si="5"/>
        <v>0</v>
      </c>
      <c r="H18" s="151"/>
      <c r="I18" s="12">
        <f t="shared" si="4"/>
        <v>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45978</v>
      </c>
      <c r="B19" s="95" t="s">
        <v>2</v>
      </c>
      <c r="C19" s="97"/>
      <c r="D19" s="98"/>
      <c r="E19" s="98"/>
      <c r="F19" s="99"/>
      <c r="G19" s="62">
        <f t="shared" si="5"/>
        <v>0</v>
      </c>
      <c r="H19" s="151"/>
      <c r="I19" s="12">
        <f t="shared" si="4"/>
        <v>0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46</v>
      </c>
      <c r="B21" s="104" t="s">
        <v>10</v>
      </c>
      <c r="C21" s="105">
        <f>SUM(C15:C20)</f>
        <v>0</v>
      </c>
      <c r="D21" s="74"/>
      <c r="E21" s="74"/>
      <c r="F21" s="91">
        <f>SUM(F15:F20)</f>
        <v>0</v>
      </c>
      <c r="G21" s="71">
        <f>SUM(G15:G20)</f>
        <v>0</v>
      </c>
      <c r="H21" s="153"/>
      <c r="I21" s="92">
        <f>IF((G21-C21+J21)&lt;0,TEXT(C21-G21-J21,"-[h]:mm"),G21-C21+J21)</f>
        <v>0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0.48333333333333739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x14ac:dyDescent="0.25">
      <c r="A22" s="140"/>
      <c r="B22" s="84" t="s">
        <v>0</v>
      </c>
      <c r="C22" s="56"/>
      <c r="D22" s="57"/>
      <c r="E22" s="57"/>
      <c r="F22" s="58"/>
      <c r="G22" s="59">
        <f>IF(OR(ISBLANK(D22),ISBLANK(E22)),0,E22-D22-F22)</f>
        <v>0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x14ac:dyDescent="0.25">
      <c r="A23" s="213">
        <f>A26+4</f>
        <v>45989</v>
      </c>
      <c r="B23" s="95" t="s">
        <v>11</v>
      </c>
      <c r="C23" s="61"/>
      <c r="D23" s="108"/>
      <c r="E23" s="108"/>
      <c r="F23" s="109"/>
      <c r="G23" s="62">
        <f t="shared" ref="G23:G27" si="9">IF(OR(ISBLANK(D23),ISBLANK(E23)),0,E23-D23-F23)</f>
        <v>0</v>
      </c>
      <c r="H23" s="151"/>
      <c r="I23" s="12">
        <f t="shared" si="8"/>
        <v>0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x14ac:dyDescent="0.25">
      <c r="A24" s="213"/>
      <c r="B24" s="95" t="s">
        <v>12</v>
      </c>
      <c r="C24" s="61"/>
      <c r="D24" s="108"/>
      <c r="E24" s="108"/>
      <c r="F24" s="109"/>
      <c r="G24" s="62">
        <f t="shared" si="9"/>
        <v>0</v>
      </c>
      <c r="H24" s="151"/>
      <c r="I24" s="12">
        <f t="shared" si="8"/>
        <v>0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x14ac:dyDescent="0.25">
      <c r="A25" s="141" t="s">
        <v>45</v>
      </c>
      <c r="B25" s="95" t="s">
        <v>1</v>
      </c>
      <c r="C25" s="61"/>
      <c r="D25" s="108"/>
      <c r="E25" s="108"/>
      <c r="F25" s="109"/>
      <c r="G25" s="62">
        <f t="shared" si="9"/>
        <v>0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45985</v>
      </c>
      <c r="B26" s="95" t="s">
        <v>2</v>
      </c>
      <c r="C26" s="97"/>
      <c r="D26" s="98"/>
      <c r="E26" s="98"/>
      <c r="F26" s="99"/>
      <c r="G26" s="62">
        <f t="shared" si="9"/>
        <v>0</v>
      </c>
      <c r="H26" s="151"/>
      <c r="I26" s="12">
        <f t="shared" si="8"/>
        <v>0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47</v>
      </c>
      <c r="B28" s="104" t="s">
        <v>10</v>
      </c>
      <c r="C28" s="105">
        <f>SUM(C22:C27)</f>
        <v>0</v>
      </c>
      <c r="D28" s="74"/>
      <c r="E28" s="74"/>
      <c r="F28" s="91">
        <f>SUM(F22:F27)</f>
        <v>0</v>
      </c>
      <c r="G28" s="71">
        <f>SUM(G22:G27)</f>
        <v>0</v>
      </c>
      <c r="H28" s="153"/>
      <c r="I28" s="92">
        <f>IF((G28-C28+J28)&lt;0,TEXT(C28-G28-J28,"-[h]:mm"),G28-C28+J28)</f>
        <v>0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x14ac:dyDescent="0.25">
      <c r="A29" s="140"/>
      <c r="B29" s="84" t="s">
        <v>0</v>
      </c>
      <c r="C29" s="56"/>
      <c r="D29" s="57"/>
      <c r="E29" s="57"/>
      <c r="F29" s="58"/>
      <c r="G29" s="59">
        <f>IF(OR(ISBLANK(D29),ISBLANK(E29)),0,E29-D29-F29)</f>
        <v>0</v>
      </c>
      <c r="H29" s="150"/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x14ac:dyDescent="0.25">
      <c r="A30" s="213">
        <f>A33+4</f>
        <v>45996</v>
      </c>
      <c r="B30" s="95" t="s">
        <v>11</v>
      </c>
      <c r="C30" s="61"/>
      <c r="D30" s="108"/>
      <c r="E30" s="108"/>
      <c r="F30" s="109"/>
      <c r="G30" s="62">
        <f t="shared" ref="G30:G34" si="11">IF(OR(ISBLANK(D30),ISBLANK(E30)),0,E30-D30-F30)</f>
        <v>0</v>
      </c>
      <c r="H30" s="151"/>
      <c r="I30" s="12">
        <f>IF((G30-C30)&lt;0,TEXT(C30-G30,"-[h]:mm"),G30-C30)</f>
        <v>0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x14ac:dyDescent="0.25">
      <c r="A31" s="213"/>
      <c r="B31" s="95" t="s">
        <v>12</v>
      </c>
      <c r="C31" s="61"/>
      <c r="D31" s="108"/>
      <c r="E31" s="108"/>
      <c r="F31" s="109"/>
      <c r="G31" s="62">
        <f t="shared" si="11"/>
        <v>0</v>
      </c>
      <c r="H31" s="151"/>
      <c r="I31" s="12">
        <f>IF((G31-C31)&lt;0,TEXT(C31-G31,"-[h]:mm"),G31-C31)</f>
        <v>0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x14ac:dyDescent="0.25">
      <c r="A32" s="141" t="s">
        <v>45</v>
      </c>
      <c r="B32" s="95" t="s">
        <v>1</v>
      </c>
      <c r="C32" s="61"/>
      <c r="D32" s="108"/>
      <c r="E32" s="108"/>
      <c r="F32" s="109"/>
      <c r="G32" s="62">
        <f t="shared" si="11"/>
        <v>0</v>
      </c>
      <c r="H32" s="151"/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45992</v>
      </c>
      <c r="B33" s="95" t="s">
        <v>2</v>
      </c>
      <c r="C33" s="97"/>
      <c r="D33" s="98"/>
      <c r="E33" s="98"/>
      <c r="F33" s="99"/>
      <c r="G33" s="62">
        <f t="shared" si="11"/>
        <v>0</v>
      </c>
      <c r="H33" s="151"/>
      <c r="I33" s="12">
        <f t="shared" ref="I33:I34" si="12">IF((G33-C33)&lt;0,TEXT(C33-G33,"-[hh]:mm"),G33-C33)</f>
        <v>0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48</v>
      </c>
      <c r="B35" s="104" t="s">
        <v>10</v>
      </c>
      <c r="C35" s="73">
        <f>SUM(C29:C34)</f>
        <v>0</v>
      </c>
      <c r="D35" s="74"/>
      <c r="E35" s="74"/>
      <c r="F35" s="91">
        <f>SUM(F29:F34)</f>
        <v>0</v>
      </c>
      <c r="G35" s="71">
        <f>SUM(G29:G34)</f>
        <v>0</v>
      </c>
      <c r="H35" s="153"/>
      <c r="I35" s="92">
        <f>IF((G35-C35+J35)&lt;0,TEXT(C35-G35-J35,"-[h]:mm"),G35-C35+J35)</f>
        <v>0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28"/>
      <c r="B36" s="30" t="s">
        <v>10</v>
      </c>
      <c r="C36" s="22">
        <f>C14+C21+C28+C35</f>
        <v>0</v>
      </c>
      <c r="D36" s="23"/>
      <c r="E36" s="23"/>
      <c r="F36" s="23"/>
      <c r="G36" s="6">
        <f>G14+G21+G28+G35</f>
        <v>0</v>
      </c>
      <c r="H36" s="154"/>
      <c r="I36" s="14">
        <f>IF((G36-C36+J36)&lt;0,TEXT(C36-G36-J36,"-[h]:mm"),G36-C36+J36)</f>
        <v>0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0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glSk+sUxrs73u4vlH2dnpD0vJ3dc9Va5T9c2/WrcfPZdjMRMszeObpK+Xr8HjcsksFWgE9ceSkZlDXQREZyckg==" saltValue="Dh93Q+L51XP6CNVjNGSOcA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C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C71E94A-AAA6-47F6-9DB2-1B00904E34AE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>
    <pageSetUpPr fitToPage="1"/>
  </sheetPr>
  <dimension ref="A1:W41"/>
  <sheetViews>
    <sheetView topLeftCell="A18" zoomScale="129" zoomScaleNormal="100" zoomScaleSheetLayoutView="75" workbookViewId="0">
      <selection activeCell="P29" sqref="P29:P33"/>
    </sheetView>
  </sheetViews>
  <sheetFormatPr baseColWidth="10" defaultRowHeight="13.2" x14ac:dyDescent="0.25"/>
  <cols>
    <col min="1" max="1" width="5.88671875" customWidth="1"/>
    <col min="2" max="3" width="6.44140625" customWidth="1"/>
    <col min="4" max="5" width="5.44140625" customWidth="1"/>
    <col min="6" max="6" width="7.44140625" customWidth="1"/>
    <col min="7" max="7" width="6.44140625" customWidth="1"/>
    <col min="8" max="8" width="4" style="149" customWidth="1"/>
    <col min="9" max="10" width="7.109375" customWidth="1"/>
    <col min="11" max="11" width="8.109375" customWidth="1"/>
    <col min="12" max="13" width="6.44140625" bestFit="1" customWidth="1"/>
    <col min="14" max="14" width="7" customWidth="1"/>
    <col min="15" max="15" width="5.109375" customWidth="1"/>
    <col min="16" max="16" width="22.6640625" customWidth="1"/>
    <col min="17" max="17" width="8.109375" customWidth="1"/>
    <col min="18" max="18" width="17.44140625" customWidth="1"/>
  </cols>
  <sheetData>
    <row r="1" spans="1:20" ht="40.5" customHeight="1" x14ac:dyDescent="0.25">
      <c r="A1" s="198" t="s">
        <v>20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20" ht="27.75" customHeight="1" thickBot="1" x14ac:dyDescent="0.45">
      <c r="A2" s="207" t="s">
        <v>9</v>
      </c>
      <c r="B2" s="208"/>
      <c r="C2" s="209" t="str">
        <f>Stammangaben!$B$3</f>
        <v>Nass, Daniel</v>
      </c>
      <c r="D2" s="209"/>
      <c r="E2" s="209"/>
      <c r="F2" s="209"/>
      <c r="G2" s="209"/>
      <c r="H2" s="209"/>
      <c r="I2" s="209"/>
      <c r="J2" s="209"/>
      <c r="K2" s="209"/>
      <c r="L2" s="209"/>
      <c r="M2" s="211"/>
      <c r="N2" s="75" t="s">
        <v>29</v>
      </c>
      <c r="O2" s="209" t="str">
        <f>Stammangaben!B4</f>
        <v>Österfeldschule Vaihingen</v>
      </c>
      <c r="P2" s="209"/>
      <c r="Q2" s="209"/>
      <c r="R2" s="210"/>
    </row>
    <row r="3" spans="1:20" ht="28.5" customHeight="1" thickBot="1" x14ac:dyDescent="0.3">
      <c r="A3" s="110">
        <f>IF(NOT(Stammangaben!C7=""),Stammangaben!C7,Stammangaben!C6)</f>
        <v>1.5111111111111111</v>
      </c>
      <c r="B3" s="29" t="s">
        <v>31</v>
      </c>
      <c r="C3" s="200" t="s">
        <v>7</v>
      </c>
      <c r="D3" s="193"/>
      <c r="E3" s="193"/>
      <c r="F3" s="193"/>
      <c r="G3" s="193"/>
      <c r="H3" s="201"/>
      <c r="I3" s="202"/>
      <c r="J3" s="41"/>
      <c r="K3" s="48"/>
      <c r="L3" s="192" t="s">
        <v>8</v>
      </c>
      <c r="M3" s="193"/>
      <c r="N3" s="193"/>
      <c r="O3" s="37"/>
      <c r="P3" s="16"/>
      <c r="Q3" s="37"/>
      <c r="R3" s="16"/>
    </row>
    <row r="4" spans="1:20" ht="26.25" customHeight="1" x14ac:dyDescent="0.25">
      <c r="A4" s="47"/>
      <c r="B4" s="45"/>
      <c r="C4" s="203" t="s">
        <v>26</v>
      </c>
      <c r="D4" s="205"/>
      <c r="E4" s="205"/>
      <c r="F4" s="205"/>
      <c r="G4" s="205"/>
      <c r="H4" s="147"/>
      <c r="I4" s="131">
        <f>'KW 45-48'!K36</f>
        <v>0.48333333333333739</v>
      </c>
      <c r="J4" s="76"/>
      <c r="K4" s="49"/>
      <c r="L4" s="15"/>
      <c r="N4" s="55"/>
      <c r="O4" s="46"/>
      <c r="P4" s="52"/>
      <c r="Q4" s="46"/>
      <c r="R4" s="17"/>
    </row>
    <row r="5" spans="1:20" ht="26.25" customHeight="1" thickBot="1" x14ac:dyDescent="0.3">
      <c r="A5" s="47"/>
      <c r="B5" s="45"/>
      <c r="C5" s="203" t="s">
        <v>32</v>
      </c>
      <c r="D5" s="204"/>
      <c r="E5" s="204"/>
      <c r="F5" s="204"/>
      <c r="G5" s="204"/>
      <c r="H5" s="148"/>
      <c r="I5" s="116">
        <f>'KW 45-48'!I35</f>
        <v>0</v>
      </c>
      <c r="J5" s="77"/>
      <c r="K5" s="50"/>
      <c r="L5" s="206"/>
      <c r="M5" s="206"/>
      <c r="N5" s="206"/>
      <c r="O5" s="46"/>
      <c r="P5" s="17"/>
      <c r="Q5" s="46"/>
      <c r="R5" s="17"/>
    </row>
    <row r="6" spans="1:20" ht="18" hidden="1" customHeight="1" x14ac:dyDescent="0.25">
      <c r="A6" s="9"/>
      <c r="B6" s="10"/>
      <c r="K6" s="51">
        <f>IF(LEFT(I4,1)="-",RIGHT(I4,LEN(I4)-1),I4)</f>
        <v>0.48333333333333739</v>
      </c>
      <c r="L6" s="51">
        <f>IF(LEFT(K14,1)="-",RIGHT(K14,LEN(K14)-1),K14)</f>
        <v>0.48333333333333739</v>
      </c>
      <c r="M6" s="51">
        <f>IF(LEFT(K21,1)="-",RIGHT(K21,LEN(K21)-1),K21)</f>
        <v>0.48333333333333739</v>
      </c>
      <c r="N6" s="51">
        <f>IF(LEFT(K28,1)="-",RIGHT(K28,LEN(K28)-1),K28)</f>
        <v>0.48333333333333739</v>
      </c>
      <c r="O6" s="26"/>
      <c r="P6" s="53"/>
      <c r="Q6" s="27"/>
      <c r="R6" s="17"/>
    </row>
    <row r="7" spans="1:20" ht="46.5" customHeight="1" thickBot="1" x14ac:dyDescent="0.3">
      <c r="A7" s="87" t="s">
        <v>18</v>
      </c>
      <c r="B7" s="8"/>
      <c r="C7" s="18" t="s">
        <v>3</v>
      </c>
      <c r="D7" s="19" t="s">
        <v>14</v>
      </c>
      <c r="E7" s="19" t="s">
        <v>15</v>
      </c>
      <c r="F7" s="19" t="s">
        <v>16</v>
      </c>
      <c r="G7" s="20" t="s">
        <v>4</v>
      </c>
      <c r="H7" s="145" t="s">
        <v>33</v>
      </c>
      <c r="I7" s="88" t="s">
        <v>21</v>
      </c>
      <c r="J7" s="89" t="s">
        <v>30</v>
      </c>
      <c r="K7" s="90" t="s">
        <v>22</v>
      </c>
      <c r="L7" s="18" t="s">
        <v>3</v>
      </c>
      <c r="M7" s="20" t="s">
        <v>4</v>
      </c>
      <c r="N7" s="21" t="s">
        <v>5</v>
      </c>
      <c r="O7" s="20" t="s">
        <v>6</v>
      </c>
      <c r="P7" s="54" t="s">
        <v>28</v>
      </c>
      <c r="Q7" s="194" t="s">
        <v>24</v>
      </c>
      <c r="R7" s="195"/>
      <c r="S7" s="36"/>
      <c r="T7" s="78"/>
    </row>
    <row r="8" spans="1:20" ht="26.7" customHeight="1" x14ac:dyDescent="0.25">
      <c r="A8" s="140"/>
      <c r="B8" s="84" t="s">
        <v>0</v>
      </c>
      <c r="C8" s="56"/>
      <c r="D8" s="57"/>
      <c r="E8" s="57"/>
      <c r="F8" s="58"/>
      <c r="G8" s="59">
        <f>IF(OR(ISBLANK(D8),ISBLANK(E8)),0,E8-D8-F8)</f>
        <v>0</v>
      </c>
      <c r="H8" s="150"/>
      <c r="I8" s="11">
        <f>IF((G8-C8)&lt;0,TEXT(C8-G8,"-[h]:mm"),G8-C8)</f>
        <v>0</v>
      </c>
      <c r="J8" s="56"/>
      <c r="K8" s="32"/>
      <c r="L8" s="56"/>
      <c r="M8" s="60"/>
      <c r="N8" s="11">
        <f t="shared" ref="N8:N35" si="0">IF((M8-L8)&lt;0,TEXT(L8-M8,"-[h]:mm"),M8-L8)</f>
        <v>0</v>
      </c>
      <c r="O8" s="1"/>
      <c r="P8" s="82"/>
      <c r="Q8" s="175"/>
      <c r="R8" s="176"/>
    </row>
    <row r="9" spans="1:20" ht="26.7" customHeight="1" x14ac:dyDescent="0.25">
      <c r="A9" s="213">
        <f>A12+4</f>
        <v>46003</v>
      </c>
      <c r="B9" s="85" t="s">
        <v>11</v>
      </c>
      <c r="C9" s="61"/>
      <c r="D9" s="108"/>
      <c r="E9" s="108"/>
      <c r="F9" s="109"/>
      <c r="G9" s="62">
        <f t="shared" ref="G9:G13" si="1">IF(OR(ISBLANK(D9),ISBLANK(E9)),0,E9-D9-F9)</f>
        <v>0</v>
      </c>
      <c r="H9" s="151"/>
      <c r="I9" s="12">
        <f t="shared" ref="I9:I13" si="2">IF((G9-C9)&lt;0,TEXT(C9-G9,"-[h]:mm"),G9-C9)</f>
        <v>0</v>
      </c>
      <c r="J9" s="61"/>
      <c r="K9" s="33"/>
      <c r="L9" s="61"/>
      <c r="M9" s="63"/>
      <c r="N9" s="12">
        <f t="shared" si="0"/>
        <v>0</v>
      </c>
      <c r="O9" s="2"/>
      <c r="P9" s="80"/>
      <c r="Q9" s="173"/>
      <c r="R9" s="174"/>
    </row>
    <row r="10" spans="1:20" ht="26.7" customHeight="1" x14ac:dyDescent="0.25">
      <c r="A10" s="213"/>
      <c r="B10" s="85" t="s">
        <v>12</v>
      </c>
      <c r="C10" s="61"/>
      <c r="D10" s="108"/>
      <c r="E10" s="108"/>
      <c r="F10" s="109"/>
      <c r="G10" s="62">
        <f t="shared" si="1"/>
        <v>0</v>
      </c>
      <c r="H10" s="151"/>
      <c r="I10" s="12">
        <f t="shared" si="2"/>
        <v>0</v>
      </c>
      <c r="J10" s="61"/>
      <c r="K10" s="33"/>
      <c r="L10" s="61"/>
      <c r="M10" s="63"/>
      <c r="N10" s="12">
        <f t="shared" si="0"/>
        <v>0</v>
      </c>
      <c r="O10" s="2"/>
      <c r="P10" s="80"/>
      <c r="Q10" s="173"/>
      <c r="R10" s="174"/>
    </row>
    <row r="11" spans="1:20" ht="26.7" customHeight="1" x14ac:dyDescent="0.25">
      <c r="A11" s="141" t="s">
        <v>45</v>
      </c>
      <c r="B11" s="85" t="s">
        <v>1</v>
      </c>
      <c r="C11" s="61"/>
      <c r="D11" s="108"/>
      <c r="E11" s="108"/>
      <c r="F11" s="109"/>
      <c r="G11" s="62">
        <f t="shared" si="1"/>
        <v>0</v>
      </c>
      <c r="H11" s="151"/>
      <c r="I11" s="12">
        <f t="shared" si="2"/>
        <v>0</v>
      </c>
      <c r="J11" s="61"/>
      <c r="K11" s="33"/>
      <c r="L11" s="61"/>
      <c r="M11" s="63"/>
      <c r="N11" s="12">
        <f t="shared" si="0"/>
        <v>0</v>
      </c>
      <c r="O11" s="2"/>
      <c r="P11" s="80"/>
      <c r="Q11" s="173"/>
      <c r="R11" s="174"/>
    </row>
    <row r="12" spans="1:20" ht="26.7" customHeight="1" x14ac:dyDescent="0.25">
      <c r="A12" s="212">
        <f>'KW 45-48'!A30+3</f>
        <v>45999</v>
      </c>
      <c r="B12" s="85" t="s">
        <v>2</v>
      </c>
      <c r="C12" s="97"/>
      <c r="D12" s="98"/>
      <c r="E12" s="98"/>
      <c r="F12" s="99"/>
      <c r="G12" s="100">
        <f t="shared" si="1"/>
        <v>0</v>
      </c>
      <c r="H12" s="151"/>
      <c r="I12" s="12">
        <f t="shared" si="2"/>
        <v>0</v>
      </c>
      <c r="J12" s="97"/>
      <c r="K12" s="102"/>
      <c r="L12" s="97"/>
      <c r="M12" s="103"/>
      <c r="N12" s="101">
        <f t="shared" si="0"/>
        <v>0</v>
      </c>
      <c r="O12" s="106"/>
      <c r="P12" s="107"/>
      <c r="Q12" s="171"/>
      <c r="R12" s="172"/>
    </row>
    <row r="13" spans="1:20" ht="26.7" customHeight="1" thickBot="1" x14ac:dyDescent="0.3">
      <c r="A13" s="212"/>
      <c r="B13" s="86" t="s">
        <v>13</v>
      </c>
      <c r="C13" s="64"/>
      <c r="D13" s="65"/>
      <c r="E13" s="65"/>
      <c r="F13" s="66"/>
      <c r="G13" s="67">
        <f t="shared" si="1"/>
        <v>0</v>
      </c>
      <c r="H13" s="152"/>
      <c r="I13" s="101">
        <f t="shared" si="2"/>
        <v>0</v>
      </c>
      <c r="J13" s="64"/>
      <c r="K13" s="34"/>
      <c r="L13" s="64"/>
      <c r="M13" s="68"/>
      <c r="N13" s="13">
        <f t="shared" si="0"/>
        <v>0</v>
      </c>
      <c r="O13" s="2"/>
      <c r="P13" s="80"/>
      <c r="Q13" s="173"/>
      <c r="R13" s="174"/>
    </row>
    <row r="14" spans="1:20" ht="26.7" customHeight="1" thickBot="1" x14ac:dyDescent="0.35">
      <c r="A14" s="142">
        <f>'KW 45-48'!A35+1</f>
        <v>49</v>
      </c>
      <c r="B14" s="7" t="s">
        <v>10</v>
      </c>
      <c r="C14" s="73">
        <f>SUM(C8:C13)</f>
        <v>0</v>
      </c>
      <c r="D14" s="69"/>
      <c r="E14" s="69"/>
      <c r="F14" s="91">
        <f>SUM(F8:F13)</f>
        <v>0</v>
      </c>
      <c r="G14" s="71">
        <f>SUM(G8:G13)</f>
        <v>0</v>
      </c>
      <c r="H14" s="153"/>
      <c r="I14" s="92">
        <f>IF((G14-C14+J14)&lt;0,TEXT(C14-G14-J14,"-[h]:mm"),G14-C14+J14)</f>
        <v>0</v>
      </c>
      <c r="J14" s="70">
        <f>SUM(J8:J13)</f>
        <v>0</v>
      </c>
      <c r="K14" s="93">
        <f>IF(LEFT(I4,1)="-",IF((G14-C14+J14-K6)&lt;0,TEXT(C14-G14-J14+K6,"-[hh]:mm"),G14-C14+J14-K6),IF((G14-C14+J14+K6)&lt;0,TEXT(C14-G14+J14-K6,"-[hh]:mm"),G14-C14+J14+K6))</f>
        <v>0.48333333333333739</v>
      </c>
      <c r="L14" s="70">
        <f t="shared" ref="L14:M14" si="3">SUM(L8:L13)</f>
        <v>0</v>
      </c>
      <c r="M14" s="94">
        <f t="shared" si="3"/>
        <v>0</v>
      </c>
      <c r="N14" s="92">
        <f t="shared" si="0"/>
        <v>0</v>
      </c>
      <c r="O14" s="3"/>
      <c r="P14" s="81"/>
      <c r="Q14" s="169"/>
      <c r="R14" s="170"/>
      <c r="T14" s="5"/>
    </row>
    <row r="15" spans="1:20" ht="26.7" customHeight="1" x14ac:dyDescent="0.25">
      <c r="A15" s="140"/>
      <c r="B15" s="84" t="s">
        <v>0</v>
      </c>
      <c r="C15" s="56"/>
      <c r="D15" s="57"/>
      <c r="E15" s="57"/>
      <c r="F15" s="58"/>
      <c r="G15" s="59">
        <f>IF(OR(ISBLANK(D15),ISBLANK(E15)),0,E15-D15-F15)</f>
        <v>0</v>
      </c>
      <c r="H15" s="150"/>
      <c r="I15" s="11">
        <f t="shared" ref="I15:I20" si="4">IF((G15-C15)&lt;0,TEXT(C15-G15,"-[h]:mm"),G15-C15)</f>
        <v>0</v>
      </c>
      <c r="J15" s="56"/>
      <c r="K15" s="32"/>
      <c r="L15" s="56"/>
      <c r="M15" s="60"/>
      <c r="N15" s="11">
        <f t="shared" si="0"/>
        <v>0</v>
      </c>
      <c r="O15" s="1"/>
      <c r="P15" s="79"/>
      <c r="Q15" s="175"/>
      <c r="R15" s="176"/>
    </row>
    <row r="16" spans="1:20" ht="26.7" customHeight="1" x14ac:dyDescent="0.25">
      <c r="A16" s="213">
        <f>A19+4</f>
        <v>46010</v>
      </c>
      <c r="B16" s="95" t="s">
        <v>11</v>
      </c>
      <c r="C16" s="61"/>
      <c r="D16" s="108"/>
      <c r="E16" s="108"/>
      <c r="F16" s="109"/>
      <c r="G16" s="62">
        <f t="shared" ref="G16:G19" si="5">IF(OR(ISBLANK(D16),ISBLANK(E16)),0,E16-D16-F16)</f>
        <v>0</v>
      </c>
      <c r="H16" s="151"/>
      <c r="I16" s="12">
        <f t="shared" si="4"/>
        <v>0</v>
      </c>
      <c r="J16" s="61"/>
      <c r="K16" s="33"/>
      <c r="L16" s="61"/>
      <c r="M16" s="63"/>
      <c r="N16" s="12">
        <f t="shared" si="0"/>
        <v>0</v>
      </c>
      <c r="O16" s="2"/>
      <c r="P16" s="80"/>
      <c r="Q16" s="173"/>
      <c r="R16" s="174"/>
    </row>
    <row r="17" spans="1:23" ht="26.7" customHeight="1" x14ac:dyDescent="0.25">
      <c r="A17" s="213"/>
      <c r="B17" s="95" t="s">
        <v>12</v>
      </c>
      <c r="C17" s="61"/>
      <c r="D17" s="108"/>
      <c r="E17" s="108"/>
      <c r="F17" s="109"/>
      <c r="G17" s="62">
        <f t="shared" si="5"/>
        <v>0</v>
      </c>
      <c r="H17" s="151"/>
      <c r="I17" s="12">
        <f t="shared" si="4"/>
        <v>0</v>
      </c>
      <c r="J17" s="61"/>
      <c r="K17" s="33"/>
      <c r="L17" s="61"/>
      <c r="M17" s="63"/>
      <c r="N17" s="12">
        <f t="shared" si="0"/>
        <v>0</v>
      </c>
      <c r="O17" s="2"/>
      <c r="P17" s="80"/>
      <c r="Q17" s="173"/>
      <c r="R17" s="174"/>
    </row>
    <row r="18" spans="1:23" ht="26.7" customHeight="1" x14ac:dyDescent="0.25">
      <c r="A18" s="141" t="s">
        <v>45</v>
      </c>
      <c r="B18" s="95" t="s">
        <v>1</v>
      </c>
      <c r="C18" s="61"/>
      <c r="D18" s="108"/>
      <c r="E18" s="108"/>
      <c r="F18" s="109"/>
      <c r="G18" s="62">
        <f t="shared" si="5"/>
        <v>0</v>
      </c>
      <c r="H18" s="151"/>
      <c r="I18" s="12">
        <f t="shared" si="4"/>
        <v>0</v>
      </c>
      <c r="J18" s="61"/>
      <c r="K18" s="33"/>
      <c r="L18" s="61"/>
      <c r="M18" s="63"/>
      <c r="N18" s="12">
        <f t="shared" si="0"/>
        <v>0</v>
      </c>
      <c r="O18" s="2"/>
      <c r="P18" s="80"/>
      <c r="Q18" s="173"/>
      <c r="R18" s="174"/>
    </row>
    <row r="19" spans="1:23" ht="26.7" customHeight="1" x14ac:dyDescent="0.25">
      <c r="A19" s="212">
        <f>A9+3</f>
        <v>46006</v>
      </c>
      <c r="B19" s="95" t="s">
        <v>2</v>
      </c>
      <c r="C19" s="97"/>
      <c r="D19" s="98"/>
      <c r="E19" s="98"/>
      <c r="F19" s="99"/>
      <c r="G19" s="62">
        <f t="shared" si="5"/>
        <v>0</v>
      </c>
      <c r="H19" s="151"/>
      <c r="I19" s="12">
        <f t="shared" si="4"/>
        <v>0</v>
      </c>
      <c r="J19" s="61"/>
      <c r="K19" s="33"/>
      <c r="L19" s="61"/>
      <c r="M19" s="63"/>
      <c r="N19" s="12">
        <f t="shared" si="0"/>
        <v>0</v>
      </c>
      <c r="O19" s="2"/>
      <c r="P19" s="80"/>
      <c r="Q19" s="171"/>
      <c r="R19" s="172"/>
    </row>
    <row r="20" spans="1:23" ht="26.7" customHeight="1" thickBot="1" x14ac:dyDescent="0.3">
      <c r="A20" s="212"/>
      <c r="B20" s="96" t="s">
        <v>13</v>
      </c>
      <c r="C20" s="64"/>
      <c r="D20" s="65"/>
      <c r="E20" s="65"/>
      <c r="F20" s="66"/>
      <c r="G20" s="67">
        <f t="shared" ref="G20" si="6">E20-D20-F20</f>
        <v>0</v>
      </c>
      <c r="H20" s="152"/>
      <c r="I20" s="13">
        <f t="shared" si="4"/>
        <v>0</v>
      </c>
      <c r="J20" s="64"/>
      <c r="K20" s="34"/>
      <c r="L20" s="64"/>
      <c r="M20" s="68"/>
      <c r="N20" s="13">
        <f t="shared" si="0"/>
        <v>0</v>
      </c>
      <c r="O20" s="2"/>
      <c r="P20" s="80"/>
      <c r="Q20" s="173"/>
      <c r="R20" s="174"/>
    </row>
    <row r="21" spans="1:23" ht="26.7" customHeight="1" thickBot="1" x14ac:dyDescent="0.35">
      <c r="A21" s="143">
        <f>IF(A14&lt;&gt;"",A14+1,"")</f>
        <v>50</v>
      </c>
      <c r="B21" s="104" t="s">
        <v>10</v>
      </c>
      <c r="C21" s="105">
        <f>SUM(C15:C20)</f>
        <v>0</v>
      </c>
      <c r="D21" s="74"/>
      <c r="E21" s="74"/>
      <c r="F21" s="91">
        <f>SUM(F15:F20)</f>
        <v>0</v>
      </c>
      <c r="G21" s="71">
        <f>SUM(G15:G20)</f>
        <v>0</v>
      </c>
      <c r="H21" s="153"/>
      <c r="I21" s="92">
        <f>IF((G21-C21+J21)&lt;0,TEXT(C21-G21-J21,"-[h]:mm"),G21-C21+J21)</f>
        <v>0</v>
      </c>
      <c r="J21" s="70">
        <f>SUM(J15:J20)</f>
        <v>0</v>
      </c>
      <c r="K21" s="93">
        <f>IF(LEFT(K14,1)="-",IF((G21-C21+J21-L6)&lt;0,TEXT(C21-G21-J21+L6,"-[hh]:mm"),G21-C21+J21-L6),IF((G21-C21+J21+L6)&lt;0,TEXT(C21-G21+J21-L6,"-[hh]:mm"),G21-C21+J21+L6))</f>
        <v>0.48333333333333739</v>
      </c>
      <c r="L21" s="70">
        <f t="shared" ref="L21:M21" si="7">SUM(L15:L20)</f>
        <v>0</v>
      </c>
      <c r="M21" s="71">
        <f t="shared" si="7"/>
        <v>0</v>
      </c>
      <c r="N21" s="92">
        <f t="shared" si="0"/>
        <v>0</v>
      </c>
      <c r="O21" s="3"/>
      <c r="P21" s="81"/>
      <c r="Q21" s="169"/>
      <c r="R21" s="170"/>
    </row>
    <row r="22" spans="1:23" ht="26.7" customHeight="1" x14ac:dyDescent="0.25">
      <c r="A22" s="140"/>
      <c r="B22" s="84" t="s">
        <v>0</v>
      </c>
      <c r="C22" s="56"/>
      <c r="D22" s="57"/>
      <c r="E22" s="57"/>
      <c r="F22" s="58"/>
      <c r="G22" s="59">
        <f>IF(OR(ISBLANK(D22),ISBLANK(E22)),0,E22-D22-F22)</f>
        <v>0</v>
      </c>
      <c r="H22" s="150"/>
      <c r="I22" s="11">
        <f t="shared" ref="I22:I27" si="8">IF((G22-C22)&lt;0,TEXT(C22-G22,"-[h]:mm"),G22-C22)</f>
        <v>0</v>
      </c>
      <c r="J22" s="56"/>
      <c r="K22" s="32"/>
      <c r="L22" s="56"/>
      <c r="M22" s="60"/>
      <c r="N22" s="11">
        <f t="shared" si="0"/>
        <v>0</v>
      </c>
      <c r="O22" s="1"/>
      <c r="P22" s="79"/>
      <c r="Q22" s="175"/>
      <c r="R22" s="176"/>
      <c r="U22" s="4"/>
      <c r="V22" s="4"/>
      <c r="W22" s="4"/>
    </row>
    <row r="23" spans="1:23" ht="26.7" customHeight="1" x14ac:dyDescent="0.25">
      <c r="A23" s="213">
        <f>A26+4</f>
        <v>46017</v>
      </c>
      <c r="B23" s="95" t="s">
        <v>11</v>
      </c>
      <c r="C23" s="61"/>
      <c r="D23" s="108"/>
      <c r="E23" s="108"/>
      <c r="F23" s="109"/>
      <c r="G23" s="62">
        <f t="shared" ref="G23:G27" si="9">IF(OR(ISBLANK(D23),ISBLANK(E23)),0,E23-D23-F23)</f>
        <v>0</v>
      </c>
      <c r="H23" s="151"/>
      <c r="I23" s="12">
        <f t="shared" si="8"/>
        <v>0</v>
      </c>
      <c r="J23" s="61"/>
      <c r="K23" s="33"/>
      <c r="L23" s="61"/>
      <c r="M23" s="63"/>
      <c r="N23" s="12">
        <f t="shared" si="0"/>
        <v>0</v>
      </c>
      <c r="O23" s="2"/>
      <c r="P23" s="80"/>
      <c r="Q23" s="173"/>
      <c r="R23" s="174"/>
      <c r="U23" s="4"/>
      <c r="V23" s="4"/>
      <c r="W23" s="4"/>
    </row>
    <row r="24" spans="1:23" ht="26.7" customHeight="1" x14ac:dyDescent="0.25">
      <c r="A24" s="213"/>
      <c r="B24" s="95" t="s">
        <v>12</v>
      </c>
      <c r="C24" s="61"/>
      <c r="D24" s="108"/>
      <c r="E24" s="108"/>
      <c r="F24" s="109"/>
      <c r="G24" s="62">
        <f t="shared" si="9"/>
        <v>0</v>
      </c>
      <c r="H24" s="151"/>
      <c r="I24" s="12">
        <f t="shared" si="8"/>
        <v>0</v>
      </c>
      <c r="J24" s="61"/>
      <c r="K24" s="33"/>
      <c r="L24" s="61"/>
      <c r="M24" s="63"/>
      <c r="N24" s="12">
        <f t="shared" si="0"/>
        <v>0</v>
      </c>
      <c r="O24" s="2"/>
      <c r="P24" s="80"/>
      <c r="Q24" s="173"/>
      <c r="R24" s="174"/>
      <c r="U24" s="4"/>
      <c r="V24" s="4"/>
      <c r="W24" s="4"/>
    </row>
    <row r="25" spans="1:23" ht="26.7" customHeight="1" x14ac:dyDescent="0.25">
      <c r="A25" s="141" t="s">
        <v>45</v>
      </c>
      <c r="B25" s="95" t="s">
        <v>1</v>
      </c>
      <c r="C25" s="61"/>
      <c r="D25" s="108"/>
      <c r="E25" s="108"/>
      <c r="F25" s="109"/>
      <c r="G25" s="62">
        <f t="shared" si="9"/>
        <v>0</v>
      </c>
      <c r="H25" s="151"/>
      <c r="I25" s="12">
        <f t="shared" si="8"/>
        <v>0</v>
      </c>
      <c r="J25" s="61"/>
      <c r="K25" s="33"/>
      <c r="L25" s="61"/>
      <c r="M25" s="63"/>
      <c r="N25" s="12">
        <f t="shared" si="0"/>
        <v>0</v>
      </c>
      <c r="O25" s="2"/>
      <c r="P25" s="80"/>
      <c r="Q25" s="173"/>
      <c r="R25" s="174"/>
      <c r="U25" s="4"/>
      <c r="V25" s="4"/>
      <c r="W25" s="4"/>
    </row>
    <row r="26" spans="1:23" ht="26.7" customHeight="1" x14ac:dyDescent="0.25">
      <c r="A26" s="212">
        <f>A16+3</f>
        <v>46013</v>
      </c>
      <c r="B26" s="95" t="s">
        <v>2</v>
      </c>
      <c r="C26" s="97"/>
      <c r="D26" s="98"/>
      <c r="E26" s="98"/>
      <c r="F26" s="99"/>
      <c r="G26" s="62">
        <f t="shared" si="9"/>
        <v>0</v>
      </c>
      <c r="H26" s="151"/>
      <c r="I26" s="12">
        <f t="shared" si="8"/>
        <v>0</v>
      </c>
      <c r="J26" s="61"/>
      <c r="K26" s="33"/>
      <c r="L26" s="61"/>
      <c r="M26" s="63"/>
      <c r="N26" s="12">
        <f t="shared" si="0"/>
        <v>0</v>
      </c>
      <c r="O26" s="2"/>
      <c r="P26" s="80"/>
      <c r="Q26" s="171"/>
      <c r="R26" s="172"/>
    </row>
    <row r="27" spans="1:23" ht="26.7" customHeight="1" thickBot="1" x14ac:dyDescent="0.3">
      <c r="A27" s="212"/>
      <c r="B27" s="96" t="s">
        <v>13</v>
      </c>
      <c r="C27" s="64"/>
      <c r="D27" s="65"/>
      <c r="E27" s="65"/>
      <c r="F27" s="66"/>
      <c r="G27" s="67">
        <f t="shared" si="9"/>
        <v>0</v>
      </c>
      <c r="H27" s="152"/>
      <c r="I27" s="13">
        <f t="shared" si="8"/>
        <v>0</v>
      </c>
      <c r="J27" s="64"/>
      <c r="K27" s="34"/>
      <c r="L27" s="64"/>
      <c r="M27" s="68"/>
      <c r="N27" s="13">
        <f t="shared" si="0"/>
        <v>0</v>
      </c>
      <c r="O27" s="2"/>
      <c r="P27" s="80"/>
      <c r="Q27" s="173"/>
      <c r="R27" s="174"/>
    </row>
    <row r="28" spans="1:23" ht="26.7" customHeight="1" thickBot="1" x14ac:dyDescent="0.35">
      <c r="A28" s="143">
        <f>IF(A21&lt;&gt;"",A21+1,"")</f>
        <v>51</v>
      </c>
      <c r="B28" s="104" t="s">
        <v>10</v>
      </c>
      <c r="C28" s="105">
        <f>SUM(C22:C27)</f>
        <v>0</v>
      </c>
      <c r="D28" s="74"/>
      <c r="E28" s="74"/>
      <c r="F28" s="91">
        <f>SUM(F22:F27)</f>
        <v>0</v>
      </c>
      <c r="G28" s="71">
        <f>SUM(G22:G27)</f>
        <v>0</v>
      </c>
      <c r="H28" s="153"/>
      <c r="I28" s="92">
        <f>IF((G28-C28+J28)&lt;0,TEXT(C28-G28-J28,"-[h]:mm"),G28-C28+J28)</f>
        <v>0</v>
      </c>
      <c r="J28" s="70">
        <f>SUM(J22:J27)</f>
        <v>0</v>
      </c>
      <c r="K28" s="93">
        <f>IF(LEFT(K21,1)="-",IF((G28-C28+J28-M6)&lt;0,TEXT(C28-G28-J28+M6,"-[hh]:mm"),G28-C28+J28-M6),IF((G28-C28+J28+M6)&lt;0,TEXT(C28-G28+J28-M6,"-[hh]:mm"),G28-C28+J28+M6))</f>
        <v>0.48333333333333739</v>
      </c>
      <c r="L28" s="70">
        <f t="shared" ref="L28:M28" si="10">SUM(L22:L27)</f>
        <v>0</v>
      </c>
      <c r="M28" s="71">
        <f t="shared" si="10"/>
        <v>0</v>
      </c>
      <c r="N28" s="72">
        <f t="shared" si="0"/>
        <v>0</v>
      </c>
      <c r="O28" s="3"/>
      <c r="P28" s="81"/>
      <c r="Q28" s="169"/>
      <c r="R28" s="170"/>
      <c r="S28" s="15"/>
    </row>
    <row r="29" spans="1:23" ht="26.7" customHeight="1" x14ac:dyDescent="0.25">
      <c r="A29" s="140"/>
      <c r="B29" s="84" t="s">
        <v>0</v>
      </c>
      <c r="C29" s="56"/>
      <c r="D29" s="57"/>
      <c r="E29" s="57"/>
      <c r="F29" s="58"/>
      <c r="G29" s="59">
        <f>IF(OR(ISBLANK(D29),ISBLANK(E29)),0,E29-D29-F29)</f>
        <v>0</v>
      </c>
      <c r="H29" s="150"/>
      <c r="I29" s="11">
        <f>IF((G29-C29)&lt;0,TEXT(C29-G29,"-[h]:mm"),G29-C29)</f>
        <v>0</v>
      </c>
      <c r="J29" s="56"/>
      <c r="K29" s="32"/>
      <c r="L29" s="56"/>
      <c r="M29" s="60"/>
      <c r="N29" s="11">
        <f t="shared" si="0"/>
        <v>0</v>
      </c>
      <c r="O29" s="1"/>
      <c r="P29" s="79"/>
      <c r="Q29" s="175"/>
      <c r="R29" s="176"/>
    </row>
    <row r="30" spans="1:23" ht="26.7" customHeight="1" x14ac:dyDescent="0.25">
      <c r="A30" s="213">
        <f>A33+4</f>
        <v>46024</v>
      </c>
      <c r="B30" s="95" t="s">
        <v>11</v>
      </c>
      <c r="C30" s="61"/>
      <c r="D30" s="108"/>
      <c r="E30" s="108"/>
      <c r="F30" s="109"/>
      <c r="G30" s="62">
        <f t="shared" ref="G30:G34" si="11">IF(OR(ISBLANK(D30),ISBLANK(E30)),0,E30-D30-F30)</f>
        <v>0</v>
      </c>
      <c r="H30" s="151"/>
      <c r="I30" s="12">
        <f>IF((G30-C30)&lt;0,TEXT(C30-G30,"-[h]:mm"),G30-C30)</f>
        <v>0</v>
      </c>
      <c r="J30" s="61"/>
      <c r="K30" s="33"/>
      <c r="L30" s="61"/>
      <c r="M30" s="63"/>
      <c r="N30" s="12">
        <f t="shared" si="0"/>
        <v>0</v>
      </c>
      <c r="O30" s="2"/>
      <c r="P30" s="80"/>
      <c r="Q30" s="173"/>
      <c r="R30" s="174"/>
    </row>
    <row r="31" spans="1:23" ht="26.7" customHeight="1" x14ac:dyDescent="0.25">
      <c r="A31" s="213"/>
      <c r="B31" s="95" t="s">
        <v>12</v>
      </c>
      <c r="C31" s="61"/>
      <c r="D31" s="108"/>
      <c r="E31" s="108"/>
      <c r="F31" s="109"/>
      <c r="G31" s="62">
        <f t="shared" si="11"/>
        <v>0</v>
      </c>
      <c r="H31" s="151"/>
      <c r="I31" s="12">
        <f>IF((G31-C31)&lt;0,TEXT(C31-G31,"-[h]:mm"),G31-C31)</f>
        <v>0</v>
      </c>
      <c r="J31" s="61"/>
      <c r="K31" s="33"/>
      <c r="L31" s="61"/>
      <c r="M31" s="63"/>
      <c r="N31" s="12">
        <f t="shared" si="0"/>
        <v>0</v>
      </c>
      <c r="O31" s="2"/>
      <c r="P31" s="80"/>
      <c r="Q31" s="173"/>
      <c r="R31" s="174"/>
    </row>
    <row r="32" spans="1:23" ht="26.7" customHeight="1" x14ac:dyDescent="0.25">
      <c r="A32" s="141" t="s">
        <v>45</v>
      </c>
      <c r="B32" s="95" t="s">
        <v>1</v>
      </c>
      <c r="C32" s="61"/>
      <c r="D32" s="108"/>
      <c r="E32" s="108"/>
      <c r="F32" s="109"/>
      <c r="G32" s="62">
        <f t="shared" si="11"/>
        <v>0</v>
      </c>
      <c r="H32" s="151"/>
      <c r="I32" s="12">
        <f>IF((G32-C32)&lt;0,TEXT(C32-G32,"-[h]:mm"),G32-C32)</f>
        <v>0</v>
      </c>
      <c r="J32" s="61"/>
      <c r="K32" s="33"/>
      <c r="L32" s="61"/>
      <c r="M32" s="63"/>
      <c r="N32" s="12">
        <f t="shared" si="0"/>
        <v>0</v>
      </c>
      <c r="O32" s="2"/>
      <c r="P32" s="80"/>
      <c r="Q32" s="173"/>
      <c r="R32" s="174"/>
    </row>
    <row r="33" spans="1:18" ht="26.7" customHeight="1" x14ac:dyDescent="0.25">
      <c r="A33" s="212">
        <f>A23+3</f>
        <v>46020</v>
      </c>
      <c r="B33" s="95" t="s">
        <v>2</v>
      </c>
      <c r="C33" s="97"/>
      <c r="D33" s="98"/>
      <c r="E33" s="98"/>
      <c r="F33" s="99"/>
      <c r="G33" s="62">
        <f t="shared" si="11"/>
        <v>0</v>
      </c>
      <c r="H33" s="151"/>
      <c r="I33" s="12">
        <f t="shared" ref="I33:I34" si="12">IF((G33-C33)&lt;0,TEXT(C33-G33,"-[hh]:mm"),G33-C33)</f>
        <v>0</v>
      </c>
      <c r="J33" s="61"/>
      <c r="K33" s="33"/>
      <c r="L33" s="61"/>
      <c r="M33" s="63"/>
      <c r="N33" s="12">
        <f t="shared" si="0"/>
        <v>0</v>
      </c>
      <c r="O33" s="2"/>
      <c r="P33" s="80"/>
      <c r="Q33" s="171"/>
      <c r="R33" s="172"/>
    </row>
    <row r="34" spans="1:18" ht="26.7" customHeight="1" thickBot="1" x14ac:dyDescent="0.3">
      <c r="A34" s="212"/>
      <c r="B34" s="96" t="s">
        <v>13</v>
      </c>
      <c r="C34" s="64"/>
      <c r="D34" s="65"/>
      <c r="E34" s="65"/>
      <c r="F34" s="66"/>
      <c r="G34" s="67">
        <f t="shared" si="11"/>
        <v>0</v>
      </c>
      <c r="H34" s="152"/>
      <c r="I34" s="13">
        <f t="shared" si="12"/>
        <v>0</v>
      </c>
      <c r="J34" s="64"/>
      <c r="K34" s="34"/>
      <c r="L34" s="64"/>
      <c r="M34" s="68"/>
      <c r="N34" s="13">
        <f t="shared" si="0"/>
        <v>0</v>
      </c>
      <c r="O34" s="2"/>
      <c r="P34" s="80"/>
      <c r="Q34" s="173"/>
      <c r="R34" s="174"/>
    </row>
    <row r="35" spans="1:18" ht="26.7" customHeight="1" thickBot="1" x14ac:dyDescent="0.35">
      <c r="A35" s="143">
        <f>IF(A28&lt;&gt;"",A28+1,"")</f>
        <v>52</v>
      </c>
      <c r="B35" s="104" t="s">
        <v>10</v>
      </c>
      <c r="C35" s="73">
        <f>SUM(C29:C34)</f>
        <v>0</v>
      </c>
      <c r="D35" s="74"/>
      <c r="E35" s="74"/>
      <c r="F35" s="91">
        <f>SUM(F29:F34)</f>
        <v>0</v>
      </c>
      <c r="G35" s="71">
        <f>SUM(G29:G34)</f>
        <v>0</v>
      </c>
      <c r="H35" s="153"/>
      <c r="I35" s="92">
        <f>IF((G35-C35+J35)&lt;0,TEXT(C35-G35-J35,"-[h]:mm"),G35-C35+J35)</f>
        <v>0</v>
      </c>
      <c r="J35" s="70">
        <f>SUM(J29:J34)</f>
        <v>0</v>
      </c>
      <c r="K35" s="93">
        <f>IF(LEFT(K28,1)="-",IF((G35-C35+J35-N6)&lt;0,TEXT(C35-G35-J35+N6,"-[hh]:mm"),G35-C35+J35-N6),IF((G35-C35+J35+N6)&lt;0,TEXT(C35-G35+J35-N6,"-[hh]:mm"),G35-C35+J35+N6))</f>
        <v>0.48333333333333739</v>
      </c>
      <c r="L35" s="70">
        <f t="shared" ref="L35:M35" si="13">SUM(L29:L34)</f>
        <v>0</v>
      </c>
      <c r="M35" s="71">
        <f t="shared" si="13"/>
        <v>0</v>
      </c>
      <c r="N35" s="92">
        <f t="shared" si="0"/>
        <v>0</v>
      </c>
      <c r="O35" s="3"/>
      <c r="P35" s="81"/>
      <c r="Q35" s="169"/>
      <c r="R35" s="170"/>
    </row>
    <row r="36" spans="1:18" ht="30.75" customHeight="1" thickBot="1" x14ac:dyDescent="0.35">
      <c r="A36" s="144"/>
      <c r="B36" s="30" t="s">
        <v>10</v>
      </c>
      <c r="C36" s="22">
        <f>C14+C21+C28+C35</f>
        <v>0</v>
      </c>
      <c r="D36" s="23"/>
      <c r="E36" s="23"/>
      <c r="F36" s="23"/>
      <c r="G36" s="6">
        <f>G14+G21+G28+G35</f>
        <v>0</v>
      </c>
      <c r="H36" s="154"/>
      <c r="I36" s="14">
        <f>IF((G36-C36+J36)&lt;0,TEXT(C36-G36-J36,"-[h]:mm"),G36-C36+J36)</f>
        <v>0</v>
      </c>
      <c r="J36" s="35">
        <f>J14+J21+J28+J35</f>
        <v>0</v>
      </c>
      <c r="K36" s="35">
        <f>K35</f>
        <v>0.48333333333333739</v>
      </c>
      <c r="L36" s="24"/>
      <c r="M36" s="25"/>
      <c r="N36" s="189" t="s">
        <v>27</v>
      </c>
      <c r="O36" s="190"/>
      <c r="P36" s="191"/>
      <c r="Q36" s="187">
        <f>K36</f>
        <v>0.48333333333333739</v>
      </c>
      <c r="R36" s="188"/>
    </row>
    <row r="37" spans="1:18" ht="30.75" customHeight="1" x14ac:dyDescent="0.3">
      <c r="A37" s="38"/>
      <c r="B37" s="39"/>
      <c r="C37" s="40"/>
      <c r="D37" s="41"/>
      <c r="E37" s="41"/>
      <c r="F37" s="41"/>
      <c r="G37" s="42"/>
      <c r="H37" s="155"/>
      <c r="I37" s="31"/>
      <c r="J37" s="31"/>
      <c r="K37" s="31"/>
      <c r="L37" s="43"/>
      <c r="M37" s="44"/>
      <c r="N37" s="184" t="s">
        <v>25</v>
      </c>
      <c r="O37" s="185"/>
      <c r="P37" s="186"/>
      <c r="Q37" s="187">
        <f>I35</f>
        <v>0</v>
      </c>
      <c r="R37" s="188"/>
    </row>
    <row r="38" spans="1:18" ht="23.25" customHeight="1" x14ac:dyDescent="0.25">
      <c r="A38" s="126" t="s">
        <v>49</v>
      </c>
      <c r="E38" s="146"/>
      <c r="F38" s="183">
        <f ca="1">TODAY()</f>
        <v>45789</v>
      </c>
      <c r="G38" s="182"/>
      <c r="H38" s="182"/>
      <c r="I38" s="182"/>
      <c r="M38" s="180"/>
      <c r="N38" s="180"/>
      <c r="O38" s="180"/>
      <c r="P38" s="180"/>
      <c r="Q38" s="180"/>
      <c r="R38" s="180"/>
    </row>
    <row r="39" spans="1:18" x14ac:dyDescent="0.25">
      <c r="A39" s="126" t="s">
        <v>50</v>
      </c>
      <c r="F39" s="178" t="s">
        <v>19</v>
      </c>
      <c r="G39" s="179"/>
      <c r="H39" s="179"/>
      <c r="I39" s="179"/>
      <c r="M39" s="181" t="s">
        <v>23</v>
      </c>
      <c r="N39" s="182"/>
      <c r="O39" s="182"/>
      <c r="P39" s="182"/>
      <c r="Q39" s="182"/>
      <c r="R39" s="182"/>
    </row>
    <row r="40" spans="1:18" ht="21.75" customHeight="1" x14ac:dyDescent="0.25">
      <c r="A40" s="126" t="s">
        <v>51</v>
      </c>
      <c r="M40" s="180"/>
      <c r="N40" s="180"/>
      <c r="O40" s="180"/>
      <c r="P40" s="180"/>
      <c r="Q40" s="180"/>
      <c r="R40" s="180"/>
    </row>
    <row r="41" spans="1:18" ht="15" customHeight="1" x14ac:dyDescent="0.25">
      <c r="A41" s="126" t="s">
        <v>52</v>
      </c>
      <c r="F41" s="178" t="s">
        <v>19</v>
      </c>
      <c r="G41" s="179"/>
      <c r="H41" s="179"/>
      <c r="I41" s="179"/>
      <c r="M41" s="181" t="s">
        <v>17</v>
      </c>
      <c r="N41" s="182"/>
      <c r="O41" s="182"/>
      <c r="P41" s="182"/>
      <c r="Q41" s="182"/>
      <c r="R41" s="182"/>
    </row>
  </sheetData>
  <sheetProtection algorithmName="SHA-512" hashValue="yZsI4/Ix0RqbUPv0BDOorYBmAWI/45hcdSvUE9Dr8JUh55QGM83F5MUI3smEOOCE/dud78p10XWBRa/SiJa8SA==" saltValue="J2rrFPtKXIZ7HtkAqDvrfA==" spinCount="100000" sheet="1" selectLockedCells="1"/>
  <mergeCells count="57">
    <mergeCell ref="F41:I41"/>
    <mergeCell ref="M41:R41"/>
    <mergeCell ref="F38:I38"/>
    <mergeCell ref="M38:R38"/>
    <mergeCell ref="Q33:R33"/>
    <mergeCell ref="Q34:R34"/>
    <mergeCell ref="Q35:R35"/>
    <mergeCell ref="N36:P36"/>
    <mergeCell ref="Q36:R36"/>
    <mergeCell ref="N37:P37"/>
    <mergeCell ref="Q37:R37"/>
    <mergeCell ref="Q32:R32"/>
    <mergeCell ref="A33:A34"/>
    <mergeCell ref="F39:I39"/>
    <mergeCell ref="M39:R39"/>
    <mergeCell ref="M40:R40"/>
    <mergeCell ref="A30:A31"/>
    <mergeCell ref="Q21:R21"/>
    <mergeCell ref="Q22:R22"/>
    <mergeCell ref="Q23:R23"/>
    <mergeCell ref="Q24:R24"/>
    <mergeCell ref="Q25:R25"/>
    <mergeCell ref="Q26:R26"/>
    <mergeCell ref="Q27:R27"/>
    <mergeCell ref="A23:A24"/>
    <mergeCell ref="A26:A27"/>
    <mergeCell ref="Q28:R28"/>
    <mergeCell ref="Q29:R29"/>
    <mergeCell ref="Q30:R30"/>
    <mergeCell ref="Q31:R31"/>
    <mergeCell ref="Q14:R14"/>
    <mergeCell ref="Q15:R15"/>
    <mergeCell ref="Q16:R16"/>
    <mergeCell ref="Q17:R17"/>
    <mergeCell ref="Q18:R18"/>
    <mergeCell ref="Q19:R19"/>
    <mergeCell ref="Q20:R20"/>
    <mergeCell ref="A16:A17"/>
    <mergeCell ref="A19:A20"/>
    <mergeCell ref="C4:G4"/>
    <mergeCell ref="C5:G5"/>
    <mergeCell ref="L5:N5"/>
    <mergeCell ref="Q7:R7"/>
    <mergeCell ref="Q8:R8"/>
    <mergeCell ref="Q9:R9"/>
    <mergeCell ref="Q10:R10"/>
    <mergeCell ref="Q11:R11"/>
    <mergeCell ref="Q12:R12"/>
    <mergeCell ref="Q13:R13"/>
    <mergeCell ref="A9:A10"/>
    <mergeCell ref="A12:A13"/>
    <mergeCell ref="A1:R1"/>
    <mergeCell ref="A2:B2"/>
    <mergeCell ref="C2:M2"/>
    <mergeCell ref="O2:R2"/>
    <mergeCell ref="C3:I3"/>
    <mergeCell ref="L3:N3"/>
  </mergeCells>
  <dataValidations count="1">
    <dataValidation type="list" allowBlank="1" showInputMessage="1" showErrorMessage="1" sqref="H8:H13 H15:H20 H22:H27 H29:H34" xr:uid="{00000000-0002-0000-0D00-000000000000}">
      <formula1>$A$38:$A$41</formula1>
    </dataValidation>
  </dataValidations>
  <pageMargins left="0.31496062992125984" right="0.31496062992125984" top="0.31496062992125984" bottom="0.31496062992125984" header="0.51181102362204722" footer="0.51181102362204722"/>
  <pageSetup paperSize="9" scale="6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240E992-6A57-424F-9234-1CEB976E8A0F}">
            <xm:f>NOT(ISERROR(SEARCH(IF($E$38="X",),F38)))</xm:f>
            <xm:f>IF($E$38="X",)</xm:f>
            <x14:dxf>
              <font>
                <color theme="0"/>
              </font>
            </x14:dxf>
          </x14:cfRule>
          <xm:sqref>F38:I38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C3:C17"/>
  <sheetViews>
    <sheetView topLeftCell="A16" workbookViewId="0">
      <selection activeCell="D18" sqref="D18"/>
    </sheetView>
  </sheetViews>
  <sheetFormatPr baseColWidth="10" defaultRowHeight="13.2" x14ac:dyDescent="0.25"/>
  <sheetData>
    <row r="3" spans="3:3" x14ac:dyDescent="0.25">
      <c r="C3" s="83"/>
    </row>
    <row r="17" spans="3:3" x14ac:dyDescent="0.25">
      <c r="C17" s="83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68DB1-1B48-49E8-8254-13234FA24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13</vt:i4>
      </vt:variant>
    </vt:vector>
  </HeadingPairs>
  <TitlesOfParts>
    <vt:vector size="28" baseType="lpstr">
      <vt:lpstr>Stammangaben</vt:lpstr>
      <vt:lpstr>KW 01-04</vt:lpstr>
      <vt:lpstr>KW 05-08</vt:lpstr>
      <vt:lpstr>KW 09-12</vt:lpstr>
      <vt:lpstr>KW 13-16</vt:lpstr>
      <vt:lpstr>KW 17-20</vt:lpstr>
      <vt:lpstr>KW 21-24</vt:lpstr>
      <vt:lpstr>KW 25-28</vt:lpstr>
      <vt:lpstr>KW 29-32</vt:lpstr>
      <vt:lpstr>KW 33-36</vt:lpstr>
      <vt:lpstr>KW 37-40</vt:lpstr>
      <vt:lpstr>KW 41-44</vt:lpstr>
      <vt:lpstr>KW 45-48</vt:lpstr>
      <vt:lpstr>KW 49-52</vt:lpstr>
      <vt:lpstr>Tabelle1</vt:lpstr>
      <vt:lpstr>'KW 01-04'!Druckbereich</vt:lpstr>
      <vt:lpstr>'KW 05-08'!Druckbereich</vt:lpstr>
      <vt:lpstr>'KW 09-12'!Druckbereich</vt:lpstr>
      <vt:lpstr>'KW 13-16'!Druckbereich</vt:lpstr>
      <vt:lpstr>'KW 17-20'!Druckbereich</vt:lpstr>
      <vt:lpstr>'KW 21-24'!Druckbereich</vt:lpstr>
      <vt:lpstr>'KW 25-28'!Druckbereich</vt:lpstr>
      <vt:lpstr>'KW 29-32'!Druckbereich</vt:lpstr>
      <vt:lpstr>'KW 33-36'!Druckbereich</vt:lpstr>
      <vt:lpstr>'KW 37-40'!Druckbereich</vt:lpstr>
      <vt:lpstr>'KW 41-44'!Druckbereich</vt:lpstr>
      <vt:lpstr>'KW 45-48'!Druckbereich</vt:lpstr>
      <vt:lpstr>'KW 49-52'!Druckbereich</vt:lpstr>
    </vt:vector>
  </TitlesOfParts>
  <Company>Landeshauptstadt Stuttgart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u51sh12</dc:creator>
  <cp:lastModifiedBy>Daniel Nass</cp:lastModifiedBy>
  <cp:lastPrinted>2024-04-26T07:17:03Z</cp:lastPrinted>
  <dcterms:created xsi:type="dcterms:W3CDTF">2008-11-13T12:26:59Z</dcterms:created>
  <dcterms:modified xsi:type="dcterms:W3CDTF">2025-05-12T04:43:14Z</dcterms:modified>
</cp:coreProperties>
</file>