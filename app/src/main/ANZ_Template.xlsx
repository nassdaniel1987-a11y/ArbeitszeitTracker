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ssd\Downloads\"/>
    </mc:Choice>
  </mc:AlternateContent>
  <xr:revisionPtr revIDLastSave="0" documentId="13_ncr:1_{22075426-0392-4A1C-9FE2-25934B1DEB5D}" xr6:coauthVersionLast="47" xr6:coauthVersionMax="47" xr10:uidLastSave="{00000000-0000-0000-0000-000000000000}"/>
  <bookViews>
    <workbookView xWindow="-108" yWindow="-108" windowWidth="34776" windowHeight="21816" firstSheet="1" activeTab="13" xr2:uid="{00000000-000D-0000-FFFF-FFFF00000000}"/>
  </bookViews>
  <sheets>
    <sheet name="Stammangaben" sheetId="1" r:id="rId1"/>
    <sheet name="KW 01-04" sheetId="2" r:id="rId2"/>
    <sheet name="KW 05-08" sheetId="3" r:id="rId3"/>
    <sheet name="KW 09-12" sheetId="4" r:id="rId4"/>
    <sheet name="KW 13-16" sheetId="5" r:id="rId5"/>
    <sheet name="KW 17-20" sheetId="6" r:id="rId6"/>
    <sheet name="KW 21-24" sheetId="7" r:id="rId7"/>
    <sheet name="KW 25-28" sheetId="8" r:id="rId8"/>
    <sheet name="KW 29-32" sheetId="9" r:id="rId9"/>
    <sheet name="KW 33-36" sheetId="10" r:id="rId10"/>
    <sheet name="KW 37-40" sheetId="11" r:id="rId11"/>
    <sheet name="KW 41-44" sheetId="12" r:id="rId12"/>
    <sheet name="KW 45-48" sheetId="13" r:id="rId13"/>
    <sheet name="KW 49-52" sheetId="14" r:id="rId14"/>
    <sheet name="Tabelle1" sheetId="15" r:id="rId15"/>
  </sheets>
  <definedNames>
    <definedName name="A" localSheetId="2">'KW 05-08'!#REF!</definedName>
    <definedName name="A" localSheetId="3">'KW 09-12'!#REF!</definedName>
    <definedName name="A" localSheetId="4">'KW 13-16'!#REF!</definedName>
    <definedName name="A" localSheetId="5">'KW 17-20'!#REF!</definedName>
    <definedName name="A" localSheetId="6">'KW 21-24'!#REF!</definedName>
    <definedName name="A" localSheetId="7">'KW 25-28'!#REF!</definedName>
    <definedName name="A" localSheetId="8">'KW 29-32'!#REF!</definedName>
    <definedName name="A" localSheetId="9">'KW 33-36'!#REF!</definedName>
    <definedName name="A" localSheetId="10">'KW 37-40'!#REF!</definedName>
    <definedName name="A" localSheetId="11">'KW 41-44'!#REF!</definedName>
    <definedName name="A" localSheetId="12">'KW 45-48'!#REF!</definedName>
    <definedName name="A" localSheetId="13">'KW 49-52'!#REF!</definedName>
    <definedName name="A">'KW 01-04'!#REF!</definedName>
    <definedName name="AHG" localSheetId="2">'KW 05-08'!#REF!</definedName>
    <definedName name="AHG" localSheetId="3">'KW 09-12'!#REF!</definedName>
    <definedName name="AHG" localSheetId="4">'KW 13-16'!#REF!</definedName>
    <definedName name="AHG" localSheetId="5">'KW 17-20'!#REF!</definedName>
    <definedName name="AHG" localSheetId="6">'KW 21-24'!#REF!</definedName>
    <definedName name="AHG" localSheetId="7">'KW 25-28'!#REF!</definedName>
    <definedName name="AHG" localSheetId="8">'KW 29-32'!#REF!</definedName>
    <definedName name="AHG" localSheetId="9">'KW 33-36'!#REF!</definedName>
    <definedName name="AHG" localSheetId="10">'KW 37-40'!#REF!</definedName>
    <definedName name="AHG" localSheetId="11">'KW 41-44'!#REF!</definedName>
    <definedName name="AHG" localSheetId="12">'KW 45-48'!#REF!</definedName>
    <definedName name="AHG" localSheetId="13">'KW 49-52'!#REF!</definedName>
    <definedName name="AHG">'KW 01-04'!#REF!</definedName>
    <definedName name="Gerd" localSheetId="2">'KW 05-08'!#REF!</definedName>
    <definedName name="Gerd" localSheetId="3">'KW 09-12'!#REF!</definedName>
    <definedName name="Gerd" localSheetId="4">'KW 13-16'!#REF!</definedName>
    <definedName name="Gerd" localSheetId="5">'KW 17-20'!#REF!</definedName>
    <definedName name="Gerd" localSheetId="6">'KW 21-24'!#REF!</definedName>
    <definedName name="Gerd" localSheetId="7">'KW 25-28'!#REF!</definedName>
    <definedName name="Gerd" localSheetId="8">'KW 29-32'!#REF!</definedName>
    <definedName name="Gerd" localSheetId="9">'KW 33-36'!#REF!</definedName>
    <definedName name="Gerd" localSheetId="10">'KW 37-40'!#REF!</definedName>
    <definedName name="Gerd" localSheetId="11">'KW 41-44'!#REF!</definedName>
    <definedName name="Gerd" localSheetId="12">'KW 45-48'!#REF!</definedName>
    <definedName name="Gerd" localSheetId="13">'KW 49-52'!#REF!</definedName>
    <definedName name="Gerd">'KW 01-04'!#REF!</definedName>
    <definedName name="Heiko" localSheetId="2">'KW 05-08'!#REF!</definedName>
    <definedName name="Heiko" localSheetId="3">'KW 09-12'!#REF!</definedName>
    <definedName name="Heiko" localSheetId="4">'KW 13-16'!#REF!</definedName>
    <definedName name="Heiko" localSheetId="5">'KW 17-20'!#REF!</definedName>
    <definedName name="Heiko" localSheetId="6">'KW 21-24'!#REF!</definedName>
    <definedName name="Heiko" localSheetId="7">'KW 25-28'!#REF!</definedName>
    <definedName name="Heiko" localSheetId="8">'KW 29-32'!#REF!</definedName>
    <definedName name="Heiko" localSheetId="9">'KW 33-36'!#REF!</definedName>
    <definedName name="Heiko" localSheetId="10">'KW 37-40'!#REF!</definedName>
    <definedName name="Heiko" localSheetId="11">'KW 41-44'!#REF!</definedName>
    <definedName name="Heiko" localSheetId="12">'KW 45-48'!#REF!</definedName>
    <definedName name="Heiko" localSheetId="13">'KW 49-52'!#REF!</definedName>
    <definedName name="Heiko">'KW 01-04'!#REF!</definedName>
    <definedName name="IstArbeitszeit" localSheetId="2">'KW 05-08'!#REF!</definedName>
    <definedName name="IstArbeitszeit" localSheetId="3">'KW 09-12'!#REF!</definedName>
    <definedName name="IstArbeitszeit" localSheetId="4">'KW 13-16'!#REF!</definedName>
    <definedName name="IstArbeitszeit" localSheetId="5">'KW 17-20'!#REF!</definedName>
    <definedName name="IstArbeitszeit" localSheetId="6">'KW 21-24'!#REF!</definedName>
    <definedName name="IstArbeitszeit" localSheetId="7">'KW 25-28'!#REF!</definedName>
    <definedName name="IstArbeitszeit" localSheetId="8">'KW 29-32'!#REF!</definedName>
    <definedName name="IstArbeitszeit" localSheetId="9">'KW 33-36'!#REF!</definedName>
    <definedName name="IstArbeitszeit" localSheetId="10">'KW 37-40'!#REF!</definedName>
    <definedName name="IstArbeitszeit" localSheetId="11">'KW 41-44'!#REF!</definedName>
    <definedName name="IstArbeitszeit" localSheetId="12">'KW 45-48'!#REF!</definedName>
    <definedName name="IstArbeitszeit" localSheetId="13">'KW 49-52'!#REF!</definedName>
    <definedName name="IstArbeitszeit">'KW 01-04'!#REF!</definedName>
    <definedName name="Karl" localSheetId="2">'KW 05-08'!#REF!</definedName>
    <definedName name="Karl" localSheetId="3">'KW 09-12'!#REF!</definedName>
    <definedName name="Karl" localSheetId="4">'KW 13-16'!#REF!</definedName>
    <definedName name="Karl" localSheetId="5">'KW 17-20'!#REF!</definedName>
    <definedName name="Karl" localSheetId="6">'KW 21-24'!#REF!</definedName>
    <definedName name="Karl" localSheetId="7">'KW 25-28'!#REF!</definedName>
    <definedName name="Karl" localSheetId="8">'KW 29-32'!#REF!</definedName>
    <definedName name="Karl" localSheetId="9">'KW 33-36'!#REF!</definedName>
    <definedName name="Karl" localSheetId="10">'KW 37-40'!#REF!</definedName>
    <definedName name="Karl" localSheetId="11">'KW 41-44'!#REF!</definedName>
    <definedName name="Karl" localSheetId="12">'KW 45-48'!#REF!</definedName>
    <definedName name="Karl" localSheetId="13">'KW 49-52'!#REF!</definedName>
    <definedName name="Karl">'KW 01-04'!#REF!</definedName>
    <definedName name="Kohle" localSheetId="2">'KW 05-08'!#REF!</definedName>
    <definedName name="Kohle" localSheetId="3">'KW 09-12'!#REF!</definedName>
    <definedName name="Kohle" localSheetId="4">'KW 13-16'!#REF!</definedName>
    <definedName name="Kohle" localSheetId="5">'KW 17-20'!#REF!</definedName>
    <definedName name="Kohle" localSheetId="6">'KW 21-24'!#REF!</definedName>
    <definedName name="Kohle" localSheetId="7">'KW 25-28'!#REF!</definedName>
    <definedName name="Kohle" localSheetId="8">'KW 29-32'!#REF!</definedName>
    <definedName name="Kohle" localSheetId="9">'KW 33-36'!#REF!</definedName>
    <definedName name="Kohle" localSheetId="10">'KW 37-40'!#REF!</definedName>
    <definedName name="Kohle" localSheetId="11">'KW 41-44'!#REF!</definedName>
    <definedName name="Kohle" localSheetId="12">'KW 45-48'!#REF!</definedName>
    <definedName name="Kohle" localSheetId="13">'KW 49-52'!#REF!</definedName>
    <definedName name="Kohle">'KW 01-04'!#REF!</definedName>
    <definedName name="KW" localSheetId="2">'KW 05-08'!#REF!</definedName>
    <definedName name="KW" localSheetId="3">'KW 09-12'!#REF!</definedName>
    <definedName name="KW" localSheetId="4">'KW 13-16'!#REF!</definedName>
    <definedName name="KW" localSheetId="5">'KW 17-20'!#REF!</definedName>
    <definedName name="KW" localSheetId="6">'KW 21-24'!#REF!</definedName>
    <definedName name="KW" localSheetId="7">'KW 25-28'!#REF!</definedName>
    <definedName name="KW" localSheetId="8">'KW 29-32'!#REF!</definedName>
    <definedName name="KW" localSheetId="9">'KW 33-36'!#REF!</definedName>
    <definedName name="KW" localSheetId="10">'KW 37-40'!#REF!</definedName>
    <definedName name="KW" localSheetId="11">'KW 41-44'!#REF!</definedName>
    <definedName name="KW" localSheetId="12">'KW 45-48'!#REF!</definedName>
    <definedName name="KW" localSheetId="13">'KW 49-52'!#REF!</definedName>
    <definedName name="KW">'KW 01-04'!#REF!</definedName>
    <definedName name="Mehrarbeit" localSheetId="2">'KW 05-08'!#REF!</definedName>
    <definedName name="Mehrarbeit" localSheetId="3">'KW 09-12'!#REF!</definedName>
    <definedName name="Mehrarbeit" localSheetId="4">'KW 13-16'!#REF!</definedName>
    <definedName name="Mehrarbeit" localSheetId="5">'KW 17-20'!#REF!</definedName>
    <definedName name="Mehrarbeit" localSheetId="6">'KW 21-24'!#REF!</definedName>
    <definedName name="Mehrarbeit" localSheetId="7">'KW 25-28'!#REF!</definedName>
    <definedName name="Mehrarbeit" localSheetId="8">'KW 29-32'!#REF!</definedName>
    <definedName name="Mehrarbeit" localSheetId="9">'KW 33-36'!#REF!</definedName>
    <definedName name="Mehrarbeit" localSheetId="10">'KW 37-40'!#REF!</definedName>
    <definedName name="Mehrarbeit" localSheetId="11">'KW 41-44'!#REF!</definedName>
    <definedName name="Mehrarbeit" localSheetId="12">'KW 45-48'!#REF!</definedName>
    <definedName name="Mehrarbeit" localSheetId="13">'KW 49-52'!#REF!</definedName>
    <definedName name="Mehrarbeit">'KW 01-04'!#REF!</definedName>
    <definedName name="Oscar" localSheetId="2">'KW 05-08'!#REF!</definedName>
    <definedName name="Oscar" localSheetId="3">'KW 09-12'!#REF!</definedName>
    <definedName name="Oscar" localSheetId="4">'KW 13-16'!#REF!</definedName>
    <definedName name="Oscar" localSheetId="5">'KW 17-20'!#REF!</definedName>
    <definedName name="Oscar" localSheetId="6">'KW 21-24'!#REF!</definedName>
    <definedName name="Oscar" localSheetId="7">'KW 25-28'!#REF!</definedName>
    <definedName name="Oscar" localSheetId="8">'KW 29-32'!#REF!</definedName>
    <definedName name="Oscar" localSheetId="9">'KW 33-36'!#REF!</definedName>
    <definedName name="Oscar" localSheetId="10">'KW 37-40'!#REF!</definedName>
    <definedName name="Oscar" localSheetId="11">'KW 41-44'!#REF!</definedName>
    <definedName name="Oscar" localSheetId="12">'KW 45-48'!#REF!</definedName>
    <definedName name="Oscar" localSheetId="13">'KW 49-52'!#REF!</definedName>
    <definedName name="Oscar">'KW 01-04'!#REF!</definedName>
    <definedName name="p" localSheetId="2">'KW 05-08'!#REF!</definedName>
    <definedName name="p" localSheetId="3">'KW 09-12'!#REF!</definedName>
    <definedName name="p" localSheetId="4">'KW 13-16'!#REF!</definedName>
    <definedName name="p" localSheetId="5">'KW 17-20'!#REF!</definedName>
    <definedName name="p" localSheetId="6">'KW 21-24'!#REF!</definedName>
    <definedName name="p" localSheetId="7">'KW 25-28'!#REF!</definedName>
    <definedName name="p" localSheetId="8">'KW 29-32'!#REF!</definedName>
    <definedName name="p" localSheetId="9">'KW 33-36'!#REF!</definedName>
    <definedName name="p" localSheetId="10">'KW 37-40'!#REF!</definedName>
    <definedName name="p" localSheetId="11">'KW 41-44'!#REF!</definedName>
    <definedName name="p" localSheetId="12">'KW 45-48'!#REF!</definedName>
    <definedName name="p" localSheetId="13">'KW 49-52'!#REF!</definedName>
    <definedName name="p">'KW 01-04'!#REF!</definedName>
    <definedName name="Q" localSheetId="2">'KW 05-08'!#REF!</definedName>
    <definedName name="Q" localSheetId="3">'KW 09-12'!#REF!</definedName>
    <definedName name="Q" localSheetId="4">'KW 13-16'!#REF!</definedName>
    <definedName name="Q" localSheetId="5">'KW 17-20'!#REF!</definedName>
    <definedName name="Q" localSheetId="6">'KW 21-24'!#REF!</definedName>
    <definedName name="Q" localSheetId="7">'KW 25-28'!#REF!</definedName>
    <definedName name="Q" localSheetId="8">'KW 29-32'!#REF!</definedName>
    <definedName name="Q" localSheetId="9">'KW 33-36'!#REF!</definedName>
    <definedName name="Q" localSheetId="10">'KW 37-40'!#REF!</definedName>
    <definedName name="Q" localSheetId="11">'KW 41-44'!#REF!</definedName>
    <definedName name="Q" localSheetId="12">'KW 45-48'!#REF!</definedName>
    <definedName name="Q" localSheetId="13">'KW 49-52'!#REF!</definedName>
    <definedName name="Q">'KW 01-04'!#REF!</definedName>
    <definedName name="silvia" localSheetId="2">'KW 05-08'!#REF!</definedName>
    <definedName name="silvia" localSheetId="3">'KW 09-12'!#REF!</definedName>
    <definedName name="silvia" localSheetId="4">'KW 13-16'!#REF!</definedName>
    <definedName name="silvia" localSheetId="5">'KW 17-20'!#REF!</definedName>
    <definedName name="silvia" localSheetId="6">'KW 21-24'!#REF!</definedName>
    <definedName name="silvia" localSheetId="7">'KW 25-28'!#REF!</definedName>
    <definedName name="silvia" localSheetId="8">'KW 29-32'!#REF!</definedName>
    <definedName name="silvia" localSheetId="9">'KW 33-36'!#REF!</definedName>
    <definedName name="silvia" localSheetId="10">'KW 37-40'!#REF!</definedName>
    <definedName name="silvia" localSheetId="11">'KW 41-44'!#REF!</definedName>
    <definedName name="silvia" localSheetId="12">'KW 45-48'!#REF!</definedName>
    <definedName name="silvia" localSheetId="13">'KW 49-52'!#REF!</definedName>
    <definedName name="silvia">'KW 01-04'!#REF!</definedName>
    <definedName name="Sollarbeitszeit" localSheetId="2">'KW 05-08'!#REF!</definedName>
    <definedName name="Sollarbeitszeit" localSheetId="3">'KW 09-12'!#REF!</definedName>
    <definedName name="Sollarbeitszeit" localSheetId="4">'KW 13-16'!#REF!</definedName>
    <definedName name="Sollarbeitszeit" localSheetId="5">'KW 17-20'!#REF!</definedName>
    <definedName name="Sollarbeitszeit" localSheetId="6">'KW 21-24'!#REF!</definedName>
    <definedName name="Sollarbeitszeit" localSheetId="7">'KW 25-28'!#REF!</definedName>
    <definedName name="Sollarbeitszeit" localSheetId="8">'KW 29-32'!#REF!</definedName>
    <definedName name="Sollarbeitszeit" localSheetId="9">'KW 33-36'!#REF!</definedName>
    <definedName name="Sollarbeitszeit" localSheetId="10">'KW 37-40'!#REF!</definedName>
    <definedName name="Sollarbeitszeit" localSheetId="11">'KW 41-44'!#REF!</definedName>
    <definedName name="Sollarbeitszeit" localSheetId="12">'KW 45-48'!#REF!</definedName>
    <definedName name="Sollarbeitszeit" localSheetId="13">'KW 49-52'!#REF!</definedName>
    <definedName name="Sollarbeitszeit">'KW 01-04'!#REF!</definedName>
    <definedName name="Überstunden" localSheetId="2">'KW 05-08'!#REF!</definedName>
    <definedName name="Überstunden" localSheetId="3">'KW 09-12'!#REF!</definedName>
    <definedName name="Überstunden" localSheetId="4">'KW 13-16'!#REF!</definedName>
    <definedName name="Überstunden" localSheetId="5">'KW 17-20'!#REF!</definedName>
    <definedName name="Überstunden" localSheetId="6">'KW 21-24'!#REF!</definedName>
    <definedName name="Überstunden" localSheetId="7">'KW 25-28'!#REF!</definedName>
    <definedName name="Überstunden" localSheetId="8">'KW 29-32'!#REF!</definedName>
    <definedName name="Überstunden" localSheetId="9">'KW 33-36'!#REF!</definedName>
    <definedName name="Überstunden" localSheetId="10">'KW 37-40'!#REF!</definedName>
    <definedName name="Überstunden" localSheetId="11">'KW 41-44'!#REF!</definedName>
    <definedName name="Überstunden" localSheetId="12">'KW 45-48'!#REF!</definedName>
    <definedName name="Überstunden" localSheetId="13">'KW 49-52'!#REF!</definedName>
    <definedName name="Überstunden">'KW 01-04'!#REF!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fM8Mi+piMngg7Q5zUqbWNXNsaPhJQ0BFJnQXrdON6Jw="/>
    </ext>
  </extLst>
</workbook>
</file>

<file path=xl/calcChain.xml><?xml version="1.0" encoding="utf-8"?>
<calcChain xmlns="http://schemas.openxmlformats.org/spreadsheetml/2006/main">
  <c r="F38" i="14" l="1"/>
  <c r="M35" i="14"/>
  <c r="N35" i="14" s="1"/>
  <c r="L35" i="14"/>
  <c r="J35" i="14"/>
  <c r="F35" i="14"/>
  <c r="C35" i="14"/>
  <c r="N34" i="14"/>
  <c r="G34" i="14"/>
  <c r="I34" i="14" s="1"/>
  <c r="N33" i="14"/>
  <c r="G33" i="14"/>
  <c r="I33" i="14" s="1"/>
  <c r="N32" i="14"/>
  <c r="G32" i="14"/>
  <c r="I32" i="14" s="1"/>
  <c r="N31" i="14"/>
  <c r="G31" i="14"/>
  <c r="I31" i="14" s="1"/>
  <c r="N30" i="14"/>
  <c r="G30" i="14"/>
  <c r="I30" i="14" s="1"/>
  <c r="N29" i="14"/>
  <c r="G29" i="14"/>
  <c r="M28" i="14"/>
  <c r="N28" i="14" s="1"/>
  <c r="L28" i="14"/>
  <c r="J28" i="14"/>
  <c r="F28" i="14"/>
  <c r="C28" i="14"/>
  <c r="N27" i="14"/>
  <c r="G27" i="14"/>
  <c r="I27" i="14" s="1"/>
  <c r="N26" i="14"/>
  <c r="G26" i="14"/>
  <c r="I26" i="14" s="1"/>
  <c r="N25" i="14"/>
  <c r="G25" i="14"/>
  <c r="I25" i="14" s="1"/>
  <c r="N24" i="14"/>
  <c r="G24" i="14"/>
  <c r="I24" i="14" s="1"/>
  <c r="N23" i="14"/>
  <c r="G23" i="14"/>
  <c r="I23" i="14" s="1"/>
  <c r="N22" i="14"/>
  <c r="I22" i="14"/>
  <c r="G22" i="14"/>
  <c r="G28" i="14" s="1"/>
  <c r="I28" i="14" s="1"/>
  <c r="M21" i="14"/>
  <c r="N21" i="14" s="1"/>
  <c r="L21" i="14"/>
  <c r="J21" i="14"/>
  <c r="J36" i="14" s="1"/>
  <c r="F21" i="14"/>
  <c r="C21" i="14"/>
  <c r="C36" i="14" s="1"/>
  <c r="N20" i="14"/>
  <c r="G20" i="14"/>
  <c r="I20" i="14" s="1"/>
  <c r="N19" i="14"/>
  <c r="G19" i="14"/>
  <c r="I19" i="14" s="1"/>
  <c r="N18" i="14"/>
  <c r="G18" i="14"/>
  <c r="N17" i="14"/>
  <c r="G17" i="14"/>
  <c r="I17" i="14" s="1"/>
  <c r="N16" i="14"/>
  <c r="G16" i="14"/>
  <c r="I16" i="14" s="1"/>
  <c r="N15" i="14"/>
  <c r="G15" i="14"/>
  <c r="I15" i="14" s="1"/>
  <c r="M14" i="14"/>
  <c r="N14" i="14" s="1"/>
  <c r="L14" i="14"/>
  <c r="J14" i="14"/>
  <c r="F14" i="14"/>
  <c r="C14" i="14"/>
  <c r="N13" i="14"/>
  <c r="G13" i="14"/>
  <c r="I13" i="14" s="1"/>
  <c r="N12" i="14"/>
  <c r="G12" i="14"/>
  <c r="I12" i="14" s="1"/>
  <c r="N11" i="14"/>
  <c r="G11" i="14"/>
  <c r="I11" i="14" s="1"/>
  <c r="N10" i="14"/>
  <c r="G10" i="14"/>
  <c r="I10" i="14" s="1"/>
  <c r="N9" i="14"/>
  <c r="G9" i="14"/>
  <c r="I9" i="14" s="1"/>
  <c r="N8" i="14"/>
  <c r="G8" i="14"/>
  <c r="O2" i="14"/>
  <c r="C2" i="14"/>
  <c r="F38" i="13"/>
  <c r="M35" i="13"/>
  <c r="N35" i="13" s="1"/>
  <c r="L35" i="13"/>
  <c r="J35" i="13"/>
  <c r="J36" i="13" s="1"/>
  <c r="F35" i="13"/>
  <c r="C35" i="13"/>
  <c r="C36" i="13" s="1"/>
  <c r="N34" i="13"/>
  <c r="G34" i="13"/>
  <c r="I34" i="13" s="1"/>
  <c r="N33" i="13"/>
  <c r="G33" i="13"/>
  <c r="I33" i="13" s="1"/>
  <c r="N32" i="13"/>
  <c r="G32" i="13"/>
  <c r="I32" i="13" s="1"/>
  <c r="N31" i="13"/>
  <c r="G31" i="13"/>
  <c r="I31" i="13" s="1"/>
  <c r="N30" i="13"/>
  <c r="G30" i="13"/>
  <c r="I30" i="13" s="1"/>
  <c r="N29" i="13"/>
  <c r="G29" i="13"/>
  <c r="M28" i="13"/>
  <c r="N28" i="13" s="1"/>
  <c r="L28" i="13"/>
  <c r="J28" i="13"/>
  <c r="F28" i="13"/>
  <c r="C28" i="13"/>
  <c r="N27" i="13"/>
  <c r="G27" i="13"/>
  <c r="I27" i="13" s="1"/>
  <c r="N26" i="13"/>
  <c r="G26" i="13"/>
  <c r="I26" i="13" s="1"/>
  <c r="N25" i="13"/>
  <c r="G25" i="13"/>
  <c r="I25" i="13" s="1"/>
  <c r="N24" i="13"/>
  <c r="G24" i="13"/>
  <c r="I24" i="13" s="1"/>
  <c r="N23" i="13"/>
  <c r="G23" i="13"/>
  <c r="I23" i="13" s="1"/>
  <c r="N22" i="13"/>
  <c r="G22" i="13"/>
  <c r="M21" i="13"/>
  <c r="N21" i="13" s="1"/>
  <c r="L21" i="13"/>
  <c r="J21" i="13"/>
  <c r="F21" i="13"/>
  <c r="C21" i="13"/>
  <c r="N20" i="13"/>
  <c r="G20" i="13"/>
  <c r="I20" i="13" s="1"/>
  <c r="N19" i="13"/>
  <c r="G19" i="13"/>
  <c r="I19" i="13" s="1"/>
  <c r="N18" i="13"/>
  <c r="G18" i="13"/>
  <c r="I18" i="13" s="1"/>
  <c r="N17" i="13"/>
  <c r="G17" i="13"/>
  <c r="I17" i="13" s="1"/>
  <c r="N16" i="13"/>
  <c r="G16" i="13"/>
  <c r="I16" i="13" s="1"/>
  <c r="N15" i="13"/>
  <c r="G15" i="13"/>
  <c r="M14" i="13"/>
  <c r="N14" i="13" s="1"/>
  <c r="L14" i="13"/>
  <c r="J14" i="13"/>
  <c r="F14" i="13"/>
  <c r="C14" i="13"/>
  <c r="N13" i="13"/>
  <c r="G13" i="13"/>
  <c r="I13" i="13" s="1"/>
  <c r="N12" i="13"/>
  <c r="G12" i="13"/>
  <c r="I12" i="13" s="1"/>
  <c r="N11" i="13"/>
  <c r="G11" i="13"/>
  <c r="I11" i="13" s="1"/>
  <c r="N10" i="13"/>
  <c r="G10" i="13"/>
  <c r="I10" i="13" s="1"/>
  <c r="N9" i="13"/>
  <c r="G9" i="13"/>
  <c r="I9" i="13" s="1"/>
  <c r="N8" i="13"/>
  <c r="G8" i="13"/>
  <c r="O2" i="13"/>
  <c r="C2" i="13"/>
  <c r="F38" i="12"/>
  <c r="M35" i="12"/>
  <c r="N35" i="12" s="1"/>
  <c r="L35" i="12"/>
  <c r="J35" i="12"/>
  <c r="F35" i="12"/>
  <c r="C35" i="12"/>
  <c r="N34" i="12"/>
  <c r="G34" i="12"/>
  <c r="I34" i="12" s="1"/>
  <c r="N33" i="12"/>
  <c r="G33" i="12"/>
  <c r="I33" i="12" s="1"/>
  <c r="N32" i="12"/>
  <c r="G32" i="12"/>
  <c r="I32" i="12" s="1"/>
  <c r="N31" i="12"/>
  <c r="G31" i="12"/>
  <c r="I31" i="12" s="1"/>
  <c r="N30" i="12"/>
  <c r="G30" i="12"/>
  <c r="I30" i="12" s="1"/>
  <c r="N29" i="12"/>
  <c r="G29" i="12"/>
  <c r="M28" i="12"/>
  <c r="N28" i="12" s="1"/>
  <c r="L28" i="12"/>
  <c r="J28" i="12"/>
  <c r="F28" i="12"/>
  <c r="C28" i="12"/>
  <c r="N27" i="12"/>
  <c r="G27" i="12"/>
  <c r="I27" i="12" s="1"/>
  <c r="N26" i="12"/>
  <c r="G26" i="12"/>
  <c r="I26" i="12" s="1"/>
  <c r="N25" i="12"/>
  <c r="G25" i="12"/>
  <c r="I25" i="12" s="1"/>
  <c r="N24" i="12"/>
  <c r="G24" i="12"/>
  <c r="I24" i="12" s="1"/>
  <c r="N23" i="12"/>
  <c r="G23" i="12"/>
  <c r="I23" i="12" s="1"/>
  <c r="N22" i="12"/>
  <c r="G22" i="12"/>
  <c r="M21" i="12"/>
  <c r="N21" i="12" s="1"/>
  <c r="L21" i="12"/>
  <c r="J21" i="12"/>
  <c r="F21" i="12"/>
  <c r="C21" i="12"/>
  <c r="N20" i="12"/>
  <c r="G20" i="12"/>
  <c r="I20" i="12" s="1"/>
  <c r="N19" i="12"/>
  <c r="G19" i="12"/>
  <c r="I19" i="12" s="1"/>
  <c r="N18" i="12"/>
  <c r="G18" i="12"/>
  <c r="I18" i="12" s="1"/>
  <c r="N17" i="12"/>
  <c r="G17" i="12"/>
  <c r="I17" i="12" s="1"/>
  <c r="N16" i="12"/>
  <c r="G16" i="12"/>
  <c r="I16" i="12" s="1"/>
  <c r="N15" i="12"/>
  <c r="G15" i="12"/>
  <c r="M14" i="12"/>
  <c r="N14" i="12" s="1"/>
  <c r="L14" i="12"/>
  <c r="J14" i="12"/>
  <c r="J36" i="12" s="1"/>
  <c r="F14" i="12"/>
  <c r="C14" i="12"/>
  <c r="C36" i="12" s="1"/>
  <c r="N13" i="12"/>
  <c r="G13" i="12"/>
  <c r="I13" i="12" s="1"/>
  <c r="N12" i="12"/>
  <c r="G12" i="12"/>
  <c r="I12" i="12" s="1"/>
  <c r="N11" i="12"/>
  <c r="G11" i="12"/>
  <c r="I11" i="12" s="1"/>
  <c r="N10" i="12"/>
  <c r="G10" i="12"/>
  <c r="I10" i="12" s="1"/>
  <c r="N9" i="12"/>
  <c r="G9" i="12"/>
  <c r="I9" i="12" s="1"/>
  <c r="N8" i="12"/>
  <c r="G8" i="12"/>
  <c r="O2" i="12"/>
  <c r="C2" i="12"/>
  <c r="F38" i="11"/>
  <c r="M35" i="11"/>
  <c r="N35" i="11" s="1"/>
  <c r="L35" i="11"/>
  <c r="J35" i="11"/>
  <c r="J36" i="11" s="1"/>
  <c r="F35" i="11"/>
  <c r="C35" i="11"/>
  <c r="C36" i="11" s="1"/>
  <c r="N34" i="11"/>
  <c r="G34" i="11"/>
  <c r="I34" i="11" s="1"/>
  <c r="N33" i="11"/>
  <c r="G33" i="11"/>
  <c r="I33" i="11" s="1"/>
  <c r="N32" i="11"/>
  <c r="G32" i="11"/>
  <c r="I32" i="11" s="1"/>
  <c r="N31" i="11"/>
  <c r="G31" i="11"/>
  <c r="I31" i="11" s="1"/>
  <c r="N30" i="11"/>
  <c r="G30" i="11"/>
  <c r="N29" i="11"/>
  <c r="G29" i="11"/>
  <c r="I29" i="11" s="1"/>
  <c r="M28" i="11"/>
  <c r="N28" i="11" s="1"/>
  <c r="L28" i="11"/>
  <c r="J28" i="11"/>
  <c r="F28" i="11"/>
  <c r="C28" i="11"/>
  <c r="N27" i="11"/>
  <c r="G27" i="11"/>
  <c r="I27" i="11" s="1"/>
  <c r="N26" i="11"/>
  <c r="G26" i="11"/>
  <c r="I26" i="11" s="1"/>
  <c r="N25" i="11"/>
  <c r="G25" i="11"/>
  <c r="I25" i="11" s="1"/>
  <c r="N24" i="11"/>
  <c r="G24" i="11"/>
  <c r="I24" i="11" s="1"/>
  <c r="N23" i="11"/>
  <c r="G23" i="11"/>
  <c r="I23" i="11" s="1"/>
  <c r="N22" i="11"/>
  <c r="G22" i="11"/>
  <c r="M21" i="11"/>
  <c r="N21" i="11" s="1"/>
  <c r="L21" i="11"/>
  <c r="J21" i="11"/>
  <c r="F21" i="11"/>
  <c r="C21" i="11"/>
  <c r="N20" i="11"/>
  <c r="G20" i="11"/>
  <c r="I20" i="11" s="1"/>
  <c r="N19" i="11"/>
  <c r="G19" i="11"/>
  <c r="I19" i="11" s="1"/>
  <c r="N18" i="11"/>
  <c r="G18" i="11"/>
  <c r="I18" i="11" s="1"/>
  <c r="N17" i="11"/>
  <c r="G17" i="11"/>
  <c r="I17" i="11" s="1"/>
  <c r="N16" i="11"/>
  <c r="G16" i="11"/>
  <c r="I16" i="11" s="1"/>
  <c r="N15" i="11"/>
  <c r="G15" i="11"/>
  <c r="M14" i="11"/>
  <c r="N14" i="11" s="1"/>
  <c r="L14" i="11"/>
  <c r="J14" i="11"/>
  <c r="F14" i="11"/>
  <c r="C14" i="11"/>
  <c r="N13" i="11"/>
  <c r="G13" i="11"/>
  <c r="I13" i="11" s="1"/>
  <c r="N12" i="11"/>
  <c r="G12" i="11"/>
  <c r="I12" i="11" s="1"/>
  <c r="N11" i="11"/>
  <c r="G11" i="11"/>
  <c r="I11" i="11" s="1"/>
  <c r="N10" i="11"/>
  <c r="G10" i="11"/>
  <c r="I10" i="11" s="1"/>
  <c r="N9" i="11"/>
  <c r="G9" i="11"/>
  <c r="I9" i="11" s="1"/>
  <c r="N8" i="11"/>
  <c r="G8" i="11"/>
  <c r="O2" i="11"/>
  <c r="C2" i="11"/>
  <c r="F38" i="10"/>
  <c r="M35" i="10"/>
  <c r="N35" i="10" s="1"/>
  <c r="L35" i="10"/>
  <c r="J35" i="10"/>
  <c r="F35" i="10"/>
  <c r="C35" i="10"/>
  <c r="N34" i="10"/>
  <c r="G34" i="10"/>
  <c r="I34" i="10" s="1"/>
  <c r="N33" i="10"/>
  <c r="G33" i="10"/>
  <c r="I33" i="10" s="1"/>
  <c r="N32" i="10"/>
  <c r="G32" i="10"/>
  <c r="I32" i="10" s="1"/>
  <c r="N31" i="10"/>
  <c r="G31" i="10"/>
  <c r="I31" i="10" s="1"/>
  <c r="N30" i="10"/>
  <c r="G30" i="10"/>
  <c r="I30" i="10" s="1"/>
  <c r="N29" i="10"/>
  <c r="G29" i="10"/>
  <c r="M28" i="10"/>
  <c r="N28" i="10" s="1"/>
  <c r="L28" i="10"/>
  <c r="J28" i="10"/>
  <c r="F28" i="10"/>
  <c r="C28" i="10"/>
  <c r="N27" i="10"/>
  <c r="G27" i="10"/>
  <c r="I27" i="10" s="1"/>
  <c r="N26" i="10"/>
  <c r="G26" i="10"/>
  <c r="I26" i="10" s="1"/>
  <c r="N25" i="10"/>
  <c r="G25" i="10"/>
  <c r="I25" i="10" s="1"/>
  <c r="N24" i="10"/>
  <c r="G24" i="10"/>
  <c r="I24" i="10" s="1"/>
  <c r="N23" i="10"/>
  <c r="G23" i="10"/>
  <c r="I23" i="10" s="1"/>
  <c r="N22" i="10"/>
  <c r="G22" i="10"/>
  <c r="M21" i="10"/>
  <c r="N21" i="10" s="1"/>
  <c r="L21" i="10"/>
  <c r="J21" i="10"/>
  <c r="F21" i="10"/>
  <c r="C21" i="10"/>
  <c r="N20" i="10"/>
  <c r="G20" i="10"/>
  <c r="I20" i="10" s="1"/>
  <c r="N19" i="10"/>
  <c r="G19" i="10"/>
  <c r="I19" i="10" s="1"/>
  <c r="N18" i="10"/>
  <c r="G18" i="10"/>
  <c r="I18" i="10" s="1"/>
  <c r="N17" i="10"/>
  <c r="G17" i="10"/>
  <c r="I17" i="10" s="1"/>
  <c r="N16" i="10"/>
  <c r="G16" i="10"/>
  <c r="I16" i="10" s="1"/>
  <c r="N15" i="10"/>
  <c r="G15" i="10"/>
  <c r="M14" i="10"/>
  <c r="N14" i="10" s="1"/>
  <c r="L14" i="10"/>
  <c r="J14" i="10"/>
  <c r="J36" i="10" s="1"/>
  <c r="F14" i="10"/>
  <c r="C14" i="10"/>
  <c r="C36" i="10" s="1"/>
  <c r="N13" i="10"/>
  <c r="G13" i="10"/>
  <c r="I13" i="10" s="1"/>
  <c r="N12" i="10"/>
  <c r="G12" i="10"/>
  <c r="I12" i="10" s="1"/>
  <c r="N11" i="10"/>
  <c r="G11" i="10"/>
  <c r="I11" i="10" s="1"/>
  <c r="N10" i="10"/>
  <c r="G10" i="10"/>
  <c r="I10" i="10" s="1"/>
  <c r="N9" i="10"/>
  <c r="G9" i="10"/>
  <c r="I9" i="10" s="1"/>
  <c r="N8" i="10"/>
  <c r="G8" i="10"/>
  <c r="O2" i="10"/>
  <c r="C2" i="10"/>
  <c r="F38" i="9"/>
  <c r="M35" i="9"/>
  <c r="N35" i="9" s="1"/>
  <c r="L35" i="9"/>
  <c r="J35" i="9"/>
  <c r="F35" i="9"/>
  <c r="C35" i="9"/>
  <c r="N34" i="9"/>
  <c r="G34" i="9"/>
  <c r="I34" i="9" s="1"/>
  <c r="N33" i="9"/>
  <c r="G33" i="9"/>
  <c r="I33" i="9" s="1"/>
  <c r="N32" i="9"/>
  <c r="G32" i="9"/>
  <c r="I32" i="9" s="1"/>
  <c r="N31" i="9"/>
  <c r="G31" i="9"/>
  <c r="I31" i="9" s="1"/>
  <c r="N30" i="9"/>
  <c r="G30" i="9"/>
  <c r="I30" i="9" s="1"/>
  <c r="N29" i="9"/>
  <c r="G29" i="9"/>
  <c r="M28" i="9"/>
  <c r="N28" i="9" s="1"/>
  <c r="L28" i="9"/>
  <c r="J28" i="9"/>
  <c r="F28" i="9"/>
  <c r="C28" i="9"/>
  <c r="N27" i="9"/>
  <c r="G27" i="9"/>
  <c r="I27" i="9" s="1"/>
  <c r="N26" i="9"/>
  <c r="G26" i="9"/>
  <c r="I26" i="9" s="1"/>
  <c r="N25" i="9"/>
  <c r="G25" i="9"/>
  <c r="I25" i="9" s="1"/>
  <c r="N24" i="9"/>
  <c r="G24" i="9"/>
  <c r="I24" i="9" s="1"/>
  <c r="N23" i="9"/>
  <c r="G23" i="9"/>
  <c r="I23" i="9" s="1"/>
  <c r="N22" i="9"/>
  <c r="G22" i="9"/>
  <c r="M21" i="9"/>
  <c r="N21" i="9" s="1"/>
  <c r="L21" i="9"/>
  <c r="J21" i="9"/>
  <c r="F21" i="9"/>
  <c r="C21" i="9"/>
  <c r="N20" i="9"/>
  <c r="G20" i="9"/>
  <c r="I20" i="9" s="1"/>
  <c r="N19" i="9"/>
  <c r="G19" i="9"/>
  <c r="I19" i="9" s="1"/>
  <c r="N18" i="9"/>
  <c r="G18" i="9"/>
  <c r="I18" i="9" s="1"/>
  <c r="N17" i="9"/>
  <c r="G17" i="9"/>
  <c r="I17" i="9" s="1"/>
  <c r="N16" i="9"/>
  <c r="G16" i="9"/>
  <c r="I16" i="9" s="1"/>
  <c r="N15" i="9"/>
  <c r="G15" i="9"/>
  <c r="M14" i="9"/>
  <c r="N14" i="9" s="1"/>
  <c r="L14" i="9"/>
  <c r="J14" i="9"/>
  <c r="J36" i="9" s="1"/>
  <c r="F14" i="9"/>
  <c r="C14" i="9"/>
  <c r="C36" i="9" s="1"/>
  <c r="N13" i="9"/>
  <c r="G13" i="9"/>
  <c r="I13" i="9" s="1"/>
  <c r="N12" i="9"/>
  <c r="G12" i="9"/>
  <c r="N11" i="9"/>
  <c r="G11" i="9"/>
  <c r="I11" i="9" s="1"/>
  <c r="N10" i="9"/>
  <c r="G10" i="9"/>
  <c r="I10" i="9" s="1"/>
  <c r="N9" i="9"/>
  <c r="G9" i="9"/>
  <c r="I9" i="9" s="1"/>
  <c r="N8" i="9"/>
  <c r="G8" i="9"/>
  <c r="I8" i="9" s="1"/>
  <c r="O2" i="9"/>
  <c r="C2" i="9"/>
  <c r="F38" i="8"/>
  <c r="M35" i="8"/>
  <c r="N35" i="8" s="1"/>
  <c r="L35" i="8"/>
  <c r="J35" i="8"/>
  <c r="F35" i="8"/>
  <c r="C35" i="8"/>
  <c r="N34" i="8"/>
  <c r="G34" i="8"/>
  <c r="I34" i="8" s="1"/>
  <c r="N33" i="8"/>
  <c r="G33" i="8"/>
  <c r="I33" i="8" s="1"/>
  <c r="N32" i="8"/>
  <c r="G32" i="8"/>
  <c r="I32" i="8" s="1"/>
  <c r="N31" i="8"/>
  <c r="G31" i="8"/>
  <c r="I31" i="8" s="1"/>
  <c r="N30" i="8"/>
  <c r="G30" i="8"/>
  <c r="I30" i="8" s="1"/>
  <c r="N29" i="8"/>
  <c r="G29" i="8"/>
  <c r="M28" i="8"/>
  <c r="N28" i="8" s="1"/>
  <c r="L28" i="8"/>
  <c r="J28" i="8"/>
  <c r="F28" i="8"/>
  <c r="C28" i="8"/>
  <c r="N27" i="8"/>
  <c r="G27" i="8"/>
  <c r="I27" i="8" s="1"/>
  <c r="N26" i="8"/>
  <c r="G26" i="8"/>
  <c r="I26" i="8" s="1"/>
  <c r="N25" i="8"/>
  <c r="G25" i="8"/>
  <c r="I25" i="8" s="1"/>
  <c r="N24" i="8"/>
  <c r="G24" i="8"/>
  <c r="I24" i="8" s="1"/>
  <c r="N23" i="8"/>
  <c r="G23" i="8"/>
  <c r="I23" i="8" s="1"/>
  <c r="N22" i="8"/>
  <c r="G22" i="8"/>
  <c r="M21" i="8"/>
  <c r="N21" i="8" s="1"/>
  <c r="L21" i="8"/>
  <c r="J21" i="8"/>
  <c r="F21" i="8"/>
  <c r="C21" i="8"/>
  <c r="N20" i="8"/>
  <c r="G20" i="8"/>
  <c r="I20" i="8" s="1"/>
  <c r="N19" i="8"/>
  <c r="G19" i="8"/>
  <c r="I19" i="8" s="1"/>
  <c r="N18" i="8"/>
  <c r="G18" i="8"/>
  <c r="I18" i="8" s="1"/>
  <c r="N17" i="8"/>
  <c r="G17" i="8"/>
  <c r="I17" i="8" s="1"/>
  <c r="N16" i="8"/>
  <c r="G16" i="8"/>
  <c r="I16" i="8" s="1"/>
  <c r="N15" i="8"/>
  <c r="G15" i="8"/>
  <c r="M14" i="8"/>
  <c r="N14" i="8" s="1"/>
  <c r="L14" i="8"/>
  <c r="J14" i="8"/>
  <c r="J36" i="8" s="1"/>
  <c r="F14" i="8"/>
  <c r="C14" i="8"/>
  <c r="C36" i="8" s="1"/>
  <c r="N13" i="8"/>
  <c r="G13" i="8"/>
  <c r="I13" i="8" s="1"/>
  <c r="N12" i="8"/>
  <c r="G12" i="8"/>
  <c r="I12" i="8" s="1"/>
  <c r="N11" i="8"/>
  <c r="G11" i="8"/>
  <c r="I11" i="8" s="1"/>
  <c r="N10" i="8"/>
  <c r="G10" i="8"/>
  <c r="I10" i="8" s="1"/>
  <c r="N9" i="8"/>
  <c r="G9" i="8"/>
  <c r="I9" i="8" s="1"/>
  <c r="N8" i="8"/>
  <c r="G8" i="8"/>
  <c r="O2" i="8"/>
  <c r="C2" i="8"/>
  <c r="F38" i="7"/>
  <c r="M35" i="7"/>
  <c r="N35" i="7" s="1"/>
  <c r="L35" i="7"/>
  <c r="J35" i="7"/>
  <c r="F35" i="7"/>
  <c r="C35" i="7"/>
  <c r="N34" i="7"/>
  <c r="G34" i="7"/>
  <c r="N33" i="7"/>
  <c r="G33" i="7"/>
  <c r="I33" i="7" s="1"/>
  <c r="N32" i="7"/>
  <c r="G32" i="7"/>
  <c r="I32" i="7" s="1"/>
  <c r="N31" i="7"/>
  <c r="G31" i="7"/>
  <c r="I31" i="7" s="1"/>
  <c r="N30" i="7"/>
  <c r="G30" i="7"/>
  <c r="I30" i="7" s="1"/>
  <c r="N29" i="7"/>
  <c r="G29" i="7"/>
  <c r="I29" i="7" s="1"/>
  <c r="M28" i="7"/>
  <c r="N28" i="7" s="1"/>
  <c r="L28" i="7"/>
  <c r="J28" i="7"/>
  <c r="F28" i="7"/>
  <c r="C28" i="7"/>
  <c r="N27" i="7"/>
  <c r="G27" i="7"/>
  <c r="I27" i="7" s="1"/>
  <c r="N26" i="7"/>
  <c r="G26" i="7"/>
  <c r="I26" i="7" s="1"/>
  <c r="N25" i="7"/>
  <c r="G25" i="7"/>
  <c r="I25" i="7" s="1"/>
  <c r="N24" i="7"/>
  <c r="G24" i="7"/>
  <c r="I24" i="7" s="1"/>
  <c r="N23" i="7"/>
  <c r="G23" i="7"/>
  <c r="I23" i="7" s="1"/>
  <c r="N22" i="7"/>
  <c r="G22" i="7"/>
  <c r="M21" i="7"/>
  <c r="N21" i="7" s="1"/>
  <c r="L21" i="7"/>
  <c r="J21" i="7"/>
  <c r="F21" i="7"/>
  <c r="C21" i="7"/>
  <c r="N20" i="7"/>
  <c r="G20" i="7"/>
  <c r="I20" i="7" s="1"/>
  <c r="N19" i="7"/>
  <c r="G19" i="7"/>
  <c r="I19" i="7" s="1"/>
  <c r="N18" i="7"/>
  <c r="G18" i="7"/>
  <c r="I18" i="7" s="1"/>
  <c r="N17" i="7"/>
  <c r="G17" i="7"/>
  <c r="I17" i="7" s="1"/>
  <c r="N16" i="7"/>
  <c r="G16" i="7"/>
  <c r="I16" i="7" s="1"/>
  <c r="N15" i="7"/>
  <c r="G15" i="7"/>
  <c r="M14" i="7"/>
  <c r="N14" i="7" s="1"/>
  <c r="L14" i="7"/>
  <c r="J14" i="7"/>
  <c r="J36" i="7" s="1"/>
  <c r="G14" i="7"/>
  <c r="F14" i="7"/>
  <c r="C14" i="7"/>
  <c r="C36" i="7" s="1"/>
  <c r="N13" i="7"/>
  <c r="I13" i="7"/>
  <c r="G13" i="7"/>
  <c r="N12" i="7"/>
  <c r="G12" i="7"/>
  <c r="I12" i="7" s="1"/>
  <c r="N11" i="7"/>
  <c r="G11" i="7"/>
  <c r="I11" i="7" s="1"/>
  <c r="N10" i="7"/>
  <c r="G10" i="7"/>
  <c r="I10" i="7" s="1"/>
  <c r="N9" i="7"/>
  <c r="G9" i="7"/>
  <c r="I9" i="7" s="1"/>
  <c r="N8" i="7"/>
  <c r="G8" i="7"/>
  <c r="I8" i="7" s="1"/>
  <c r="O2" i="7"/>
  <c r="C2" i="7"/>
  <c r="F38" i="6"/>
  <c r="M35" i="6"/>
  <c r="N35" i="6" s="1"/>
  <c r="L35" i="6"/>
  <c r="J35" i="6"/>
  <c r="F35" i="6"/>
  <c r="C35" i="6"/>
  <c r="N34" i="6"/>
  <c r="G34" i="6"/>
  <c r="I34" i="6" s="1"/>
  <c r="N33" i="6"/>
  <c r="G33" i="6"/>
  <c r="I33" i="6" s="1"/>
  <c r="N32" i="6"/>
  <c r="G32" i="6"/>
  <c r="I32" i="6" s="1"/>
  <c r="N31" i="6"/>
  <c r="G31" i="6"/>
  <c r="I31" i="6" s="1"/>
  <c r="N30" i="6"/>
  <c r="G30" i="6"/>
  <c r="I30" i="6" s="1"/>
  <c r="N29" i="6"/>
  <c r="G29" i="6"/>
  <c r="M28" i="6"/>
  <c r="N28" i="6" s="1"/>
  <c r="L28" i="6"/>
  <c r="J28" i="6"/>
  <c r="C28" i="6"/>
  <c r="N27" i="6"/>
  <c r="G27" i="6"/>
  <c r="I27" i="6" s="1"/>
  <c r="N26" i="6"/>
  <c r="G26" i="6"/>
  <c r="I26" i="6" s="1"/>
  <c r="N25" i="6"/>
  <c r="G25" i="6"/>
  <c r="I25" i="6" s="1"/>
  <c r="N24" i="6"/>
  <c r="G24" i="6"/>
  <c r="I24" i="6" s="1"/>
  <c r="N23" i="6"/>
  <c r="G23" i="6"/>
  <c r="I23" i="6" s="1"/>
  <c r="N22" i="6"/>
  <c r="G22" i="6"/>
  <c r="M21" i="6"/>
  <c r="N21" i="6" s="1"/>
  <c r="L21" i="6"/>
  <c r="J21" i="6"/>
  <c r="C21" i="6"/>
  <c r="N20" i="6"/>
  <c r="G20" i="6"/>
  <c r="I20" i="6" s="1"/>
  <c r="N19" i="6"/>
  <c r="G19" i="6"/>
  <c r="I19" i="6" s="1"/>
  <c r="N18" i="6"/>
  <c r="G18" i="6"/>
  <c r="I18" i="6" s="1"/>
  <c r="N17" i="6"/>
  <c r="G17" i="6"/>
  <c r="I17" i="6" s="1"/>
  <c r="N16" i="6"/>
  <c r="G16" i="6"/>
  <c r="I16" i="6" s="1"/>
  <c r="N15" i="6"/>
  <c r="G15" i="6"/>
  <c r="M14" i="6"/>
  <c r="N14" i="6" s="1"/>
  <c r="L14" i="6"/>
  <c r="J14" i="6"/>
  <c r="J36" i="6" s="1"/>
  <c r="C14" i="6"/>
  <c r="C36" i="6" s="1"/>
  <c r="N13" i="6"/>
  <c r="G13" i="6"/>
  <c r="I13" i="6" s="1"/>
  <c r="N12" i="6"/>
  <c r="G12" i="6"/>
  <c r="I12" i="6" s="1"/>
  <c r="N11" i="6"/>
  <c r="G11" i="6"/>
  <c r="I11" i="6" s="1"/>
  <c r="N10" i="6"/>
  <c r="G10" i="6"/>
  <c r="I10" i="6" s="1"/>
  <c r="N9" i="6"/>
  <c r="G9" i="6"/>
  <c r="I9" i="6" s="1"/>
  <c r="N8" i="6"/>
  <c r="G8" i="6"/>
  <c r="O2" i="6"/>
  <c r="C2" i="6"/>
  <c r="F38" i="5"/>
  <c r="M35" i="5"/>
  <c r="N35" i="5" s="1"/>
  <c r="L35" i="5"/>
  <c r="J35" i="5"/>
  <c r="F35" i="5"/>
  <c r="C35" i="5"/>
  <c r="N34" i="5"/>
  <c r="G34" i="5"/>
  <c r="I34" i="5" s="1"/>
  <c r="N33" i="5"/>
  <c r="G33" i="5"/>
  <c r="I33" i="5" s="1"/>
  <c r="N32" i="5"/>
  <c r="G32" i="5"/>
  <c r="I32" i="5" s="1"/>
  <c r="N31" i="5"/>
  <c r="G31" i="5"/>
  <c r="I31" i="5" s="1"/>
  <c r="N30" i="5"/>
  <c r="G30" i="5"/>
  <c r="I30" i="5" s="1"/>
  <c r="N29" i="5"/>
  <c r="G29" i="5"/>
  <c r="M28" i="5"/>
  <c r="N28" i="5" s="1"/>
  <c r="L28" i="5"/>
  <c r="J28" i="5"/>
  <c r="F28" i="5"/>
  <c r="C28" i="5"/>
  <c r="N27" i="5"/>
  <c r="G27" i="5"/>
  <c r="I27" i="5" s="1"/>
  <c r="N26" i="5"/>
  <c r="G26" i="5"/>
  <c r="I26" i="5" s="1"/>
  <c r="N25" i="5"/>
  <c r="G25" i="5"/>
  <c r="I25" i="5" s="1"/>
  <c r="N24" i="5"/>
  <c r="G24" i="5"/>
  <c r="I24" i="5" s="1"/>
  <c r="N23" i="5"/>
  <c r="G23" i="5"/>
  <c r="I23" i="5" s="1"/>
  <c r="N22" i="5"/>
  <c r="G22" i="5"/>
  <c r="M21" i="5"/>
  <c r="N21" i="5" s="1"/>
  <c r="L21" i="5"/>
  <c r="J21" i="5"/>
  <c r="F21" i="5"/>
  <c r="C21" i="5"/>
  <c r="C36" i="5" s="1"/>
  <c r="N20" i="5"/>
  <c r="G20" i="5"/>
  <c r="I20" i="5" s="1"/>
  <c r="N19" i="5"/>
  <c r="G19" i="5"/>
  <c r="I19" i="5" s="1"/>
  <c r="N18" i="5"/>
  <c r="G18" i="5"/>
  <c r="I18" i="5" s="1"/>
  <c r="N17" i="5"/>
  <c r="G17" i="5"/>
  <c r="I17" i="5" s="1"/>
  <c r="N16" i="5"/>
  <c r="G16" i="5"/>
  <c r="I16" i="5" s="1"/>
  <c r="N15" i="5"/>
  <c r="G15" i="5"/>
  <c r="M14" i="5"/>
  <c r="N14" i="5" s="1"/>
  <c r="L14" i="5"/>
  <c r="J14" i="5"/>
  <c r="J36" i="5" s="1"/>
  <c r="F14" i="5"/>
  <c r="C14" i="5"/>
  <c r="N13" i="5"/>
  <c r="G13" i="5"/>
  <c r="I13" i="5" s="1"/>
  <c r="N12" i="5"/>
  <c r="G12" i="5"/>
  <c r="I12" i="5" s="1"/>
  <c r="N11" i="5"/>
  <c r="G11" i="5"/>
  <c r="I11" i="5" s="1"/>
  <c r="N10" i="5"/>
  <c r="G10" i="5"/>
  <c r="I10" i="5" s="1"/>
  <c r="N9" i="5"/>
  <c r="G9" i="5"/>
  <c r="I9" i="5" s="1"/>
  <c r="N8" i="5"/>
  <c r="G8" i="5"/>
  <c r="O2" i="5"/>
  <c r="C2" i="5"/>
  <c r="F38" i="4"/>
  <c r="M35" i="4"/>
  <c r="N35" i="4" s="1"/>
  <c r="L35" i="4"/>
  <c r="J35" i="4"/>
  <c r="F35" i="4"/>
  <c r="C35" i="4"/>
  <c r="N34" i="4"/>
  <c r="G34" i="4"/>
  <c r="I34" i="4" s="1"/>
  <c r="N33" i="4"/>
  <c r="G33" i="4"/>
  <c r="I33" i="4" s="1"/>
  <c r="N32" i="4"/>
  <c r="G32" i="4"/>
  <c r="I32" i="4" s="1"/>
  <c r="N31" i="4"/>
  <c r="G31" i="4"/>
  <c r="I31" i="4" s="1"/>
  <c r="N30" i="4"/>
  <c r="G30" i="4"/>
  <c r="I30" i="4" s="1"/>
  <c r="N29" i="4"/>
  <c r="G29" i="4"/>
  <c r="M28" i="4"/>
  <c r="N28" i="4" s="1"/>
  <c r="L28" i="4"/>
  <c r="J28" i="4"/>
  <c r="J36" i="4" s="1"/>
  <c r="F28" i="4"/>
  <c r="C28" i="4"/>
  <c r="C36" i="4" s="1"/>
  <c r="N27" i="4"/>
  <c r="G27" i="4"/>
  <c r="I27" i="4" s="1"/>
  <c r="N26" i="4"/>
  <c r="G26" i="4"/>
  <c r="N25" i="4"/>
  <c r="G25" i="4"/>
  <c r="I25" i="4" s="1"/>
  <c r="N24" i="4"/>
  <c r="G24" i="4"/>
  <c r="I24" i="4" s="1"/>
  <c r="N23" i="4"/>
  <c r="G23" i="4"/>
  <c r="I23" i="4" s="1"/>
  <c r="N22" i="4"/>
  <c r="G22" i="4"/>
  <c r="I22" i="4" s="1"/>
  <c r="M21" i="4"/>
  <c r="N21" i="4" s="1"/>
  <c r="L21" i="4"/>
  <c r="J21" i="4"/>
  <c r="F21" i="4"/>
  <c r="C21" i="4"/>
  <c r="N20" i="4"/>
  <c r="G20" i="4"/>
  <c r="I20" i="4" s="1"/>
  <c r="N19" i="4"/>
  <c r="G19" i="4"/>
  <c r="I19" i="4" s="1"/>
  <c r="N18" i="4"/>
  <c r="G18" i="4"/>
  <c r="I18" i="4" s="1"/>
  <c r="N17" i="4"/>
  <c r="G17" i="4"/>
  <c r="I17" i="4" s="1"/>
  <c r="N16" i="4"/>
  <c r="G16" i="4"/>
  <c r="I16" i="4" s="1"/>
  <c r="N15" i="4"/>
  <c r="G15" i="4"/>
  <c r="M14" i="4"/>
  <c r="N14" i="4" s="1"/>
  <c r="L14" i="4"/>
  <c r="J14" i="4"/>
  <c r="F14" i="4"/>
  <c r="C14" i="4"/>
  <c r="N13" i="4"/>
  <c r="G13" i="4"/>
  <c r="I13" i="4" s="1"/>
  <c r="N12" i="4"/>
  <c r="G12" i="4"/>
  <c r="I12" i="4" s="1"/>
  <c r="N11" i="4"/>
  <c r="G11" i="4"/>
  <c r="I11" i="4" s="1"/>
  <c r="N10" i="4"/>
  <c r="G10" i="4"/>
  <c r="I10" i="4" s="1"/>
  <c r="N9" i="4"/>
  <c r="G9" i="4"/>
  <c r="I9" i="4" s="1"/>
  <c r="N8" i="4"/>
  <c r="G8" i="4"/>
  <c r="O2" i="4"/>
  <c r="C2" i="4"/>
  <c r="F38" i="3"/>
  <c r="J36" i="3"/>
  <c r="M35" i="3"/>
  <c r="N35" i="3" s="1"/>
  <c r="L35" i="3"/>
  <c r="J35" i="3"/>
  <c r="F35" i="3"/>
  <c r="C35" i="3"/>
  <c r="N34" i="3"/>
  <c r="G34" i="3"/>
  <c r="I34" i="3" s="1"/>
  <c r="N33" i="3"/>
  <c r="G33" i="3"/>
  <c r="I33" i="3" s="1"/>
  <c r="N32" i="3"/>
  <c r="G32" i="3"/>
  <c r="I32" i="3" s="1"/>
  <c r="N31" i="3"/>
  <c r="G31" i="3"/>
  <c r="I31" i="3" s="1"/>
  <c r="N30" i="3"/>
  <c r="G30" i="3"/>
  <c r="I30" i="3" s="1"/>
  <c r="N29" i="3"/>
  <c r="G29" i="3"/>
  <c r="M28" i="3"/>
  <c r="N28" i="3" s="1"/>
  <c r="L28" i="3"/>
  <c r="J28" i="3"/>
  <c r="F28" i="3"/>
  <c r="C28" i="3"/>
  <c r="N27" i="3"/>
  <c r="G27" i="3"/>
  <c r="I27" i="3" s="1"/>
  <c r="N26" i="3"/>
  <c r="G26" i="3"/>
  <c r="I26" i="3" s="1"/>
  <c r="N25" i="3"/>
  <c r="G25" i="3"/>
  <c r="I25" i="3" s="1"/>
  <c r="N24" i="3"/>
  <c r="G24" i="3"/>
  <c r="I24" i="3" s="1"/>
  <c r="N23" i="3"/>
  <c r="G23" i="3"/>
  <c r="I23" i="3" s="1"/>
  <c r="N22" i="3"/>
  <c r="G22" i="3"/>
  <c r="M21" i="3"/>
  <c r="N21" i="3" s="1"/>
  <c r="L21" i="3"/>
  <c r="J21" i="3"/>
  <c r="F21" i="3"/>
  <c r="C21" i="3"/>
  <c r="N20" i="3"/>
  <c r="G20" i="3"/>
  <c r="I20" i="3" s="1"/>
  <c r="N19" i="3"/>
  <c r="G19" i="3"/>
  <c r="I19" i="3" s="1"/>
  <c r="N18" i="3"/>
  <c r="G18" i="3"/>
  <c r="I18" i="3" s="1"/>
  <c r="N17" i="3"/>
  <c r="G17" i="3"/>
  <c r="I17" i="3" s="1"/>
  <c r="N16" i="3"/>
  <c r="G16" i="3"/>
  <c r="I16" i="3" s="1"/>
  <c r="N15" i="3"/>
  <c r="G15" i="3"/>
  <c r="M14" i="3"/>
  <c r="N14" i="3" s="1"/>
  <c r="L14" i="3"/>
  <c r="J14" i="3"/>
  <c r="F14" i="3"/>
  <c r="C14" i="3"/>
  <c r="C36" i="3" s="1"/>
  <c r="N13" i="3"/>
  <c r="G13" i="3"/>
  <c r="I13" i="3" s="1"/>
  <c r="N12" i="3"/>
  <c r="G12" i="3"/>
  <c r="I12" i="3" s="1"/>
  <c r="N11" i="3"/>
  <c r="G11" i="3"/>
  <c r="I11" i="3" s="1"/>
  <c r="N10" i="3"/>
  <c r="G10" i="3"/>
  <c r="I10" i="3" s="1"/>
  <c r="N9" i="3"/>
  <c r="G9" i="3"/>
  <c r="I9" i="3" s="1"/>
  <c r="N8" i="3"/>
  <c r="G8" i="3"/>
  <c r="O2" i="3"/>
  <c r="C2" i="3"/>
  <c r="F38" i="2"/>
  <c r="M35" i="2"/>
  <c r="N35" i="2" s="1"/>
  <c r="L35" i="2"/>
  <c r="J35" i="2"/>
  <c r="F35" i="2"/>
  <c r="C35" i="2"/>
  <c r="N34" i="2"/>
  <c r="G34" i="2"/>
  <c r="I34" i="2" s="1"/>
  <c r="N33" i="2"/>
  <c r="G33" i="2"/>
  <c r="I33" i="2" s="1"/>
  <c r="N32" i="2"/>
  <c r="G32" i="2"/>
  <c r="I32" i="2" s="1"/>
  <c r="N31" i="2"/>
  <c r="G31" i="2"/>
  <c r="I31" i="2" s="1"/>
  <c r="N30" i="2"/>
  <c r="G30" i="2"/>
  <c r="I30" i="2" s="1"/>
  <c r="N29" i="2"/>
  <c r="G29" i="2"/>
  <c r="M28" i="2"/>
  <c r="N28" i="2" s="1"/>
  <c r="L28" i="2"/>
  <c r="J28" i="2"/>
  <c r="F28" i="2"/>
  <c r="C28" i="2"/>
  <c r="N27" i="2"/>
  <c r="G27" i="2"/>
  <c r="I27" i="2" s="1"/>
  <c r="N26" i="2"/>
  <c r="G26" i="2"/>
  <c r="I26" i="2" s="1"/>
  <c r="N25" i="2"/>
  <c r="G25" i="2"/>
  <c r="I25" i="2" s="1"/>
  <c r="N24" i="2"/>
  <c r="G24" i="2"/>
  <c r="I24" i="2" s="1"/>
  <c r="N23" i="2"/>
  <c r="G23" i="2"/>
  <c r="I23" i="2" s="1"/>
  <c r="N22" i="2"/>
  <c r="G22" i="2"/>
  <c r="M21" i="2"/>
  <c r="N21" i="2" s="1"/>
  <c r="L21" i="2"/>
  <c r="J21" i="2"/>
  <c r="F21" i="2"/>
  <c r="C21" i="2"/>
  <c r="A21" i="2"/>
  <c r="A28" i="2" s="1"/>
  <c r="A35" i="2" s="1"/>
  <c r="A14" i="3" s="1"/>
  <c r="A21" i="3" s="1"/>
  <c r="A28" i="3" s="1"/>
  <c r="A35" i="3" s="1"/>
  <c r="A14" i="4" s="1"/>
  <c r="A21" i="4" s="1"/>
  <c r="A28" i="4" s="1"/>
  <c r="A35" i="4" s="1"/>
  <c r="A14" i="5" s="1"/>
  <c r="A21" i="5" s="1"/>
  <c r="A28" i="5" s="1"/>
  <c r="A35" i="5" s="1"/>
  <c r="A14" i="6" s="1"/>
  <c r="A21" i="6" s="1"/>
  <c r="A28" i="6" s="1"/>
  <c r="A35" i="6" s="1"/>
  <c r="A14" i="7" s="1"/>
  <c r="A21" i="7" s="1"/>
  <c r="A28" i="7" s="1"/>
  <c r="A35" i="7" s="1"/>
  <c r="A14" i="8" s="1"/>
  <c r="A21" i="8" s="1"/>
  <c r="A28" i="8" s="1"/>
  <c r="A35" i="8" s="1"/>
  <c r="A14" i="9" s="1"/>
  <c r="A21" i="9" s="1"/>
  <c r="A28" i="9" s="1"/>
  <c r="A35" i="9" s="1"/>
  <c r="A14" i="10" s="1"/>
  <c r="A21" i="10" s="1"/>
  <c r="A28" i="10" s="1"/>
  <c r="A35" i="10" s="1"/>
  <c r="A14" i="11" s="1"/>
  <c r="A21" i="11" s="1"/>
  <c r="A28" i="11" s="1"/>
  <c r="A35" i="11" s="1"/>
  <c r="A14" i="12" s="1"/>
  <c r="A21" i="12" s="1"/>
  <c r="A28" i="12" s="1"/>
  <c r="A35" i="12" s="1"/>
  <c r="A14" i="13" s="1"/>
  <c r="A21" i="13" s="1"/>
  <c r="A28" i="13" s="1"/>
  <c r="A35" i="13" s="1"/>
  <c r="A14" i="14" s="1"/>
  <c r="A21" i="14" s="1"/>
  <c r="A28" i="14" s="1"/>
  <c r="A35" i="14" s="1"/>
  <c r="N20" i="2"/>
  <c r="G20" i="2"/>
  <c r="I20" i="2" s="1"/>
  <c r="N19" i="2"/>
  <c r="G19" i="2"/>
  <c r="I19" i="2" s="1"/>
  <c r="N18" i="2"/>
  <c r="G18" i="2"/>
  <c r="I18" i="2" s="1"/>
  <c r="N17" i="2"/>
  <c r="G17" i="2"/>
  <c r="I17" i="2" s="1"/>
  <c r="N16" i="2"/>
  <c r="G16" i="2"/>
  <c r="I16" i="2" s="1"/>
  <c r="N15" i="2"/>
  <c r="G15" i="2"/>
  <c r="M14" i="2"/>
  <c r="N14" i="2" s="1"/>
  <c r="L14" i="2"/>
  <c r="J14" i="2"/>
  <c r="J36" i="2" s="1"/>
  <c r="F14" i="2"/>
  <c r="C14" i="2"/>
  <c r="C36" i="2" s="1"/>
  <c r="N13" i="2"/>
  <c r="G13" i="2"/>
  <c r="I13" i="2" s="1"/>
  <c r="N12" i="2"/>
  <c r="G12" i="2"/>
  <c r="I12" i="2" s="1"/>
  <c r="A12" i="2"/>
  <c r="N11" i="2"/>
  <c r="G11" i="2"/>
  <c r="I11" i="2" s="1"/>
  <c r="N10" i="2"/>
  <c r="G10" i="2"/>
  <c r="I10" i="2" s="1"/>
  <c r="N9" i="2"/>
  <c r="G9" i="2"/>
  <c r="I9" i="2" s="1"/>
  <c r="A9" i="2"/>
  <c r="A19" i="2" s="1"/>
  <c r="A16" i="2" s="1"/>
  <c r="A26" i="2" s="1"/>
  <c r="A23" i="2" s="1"/>
  <c r="A33" i="2" s="1"/>
  <c r="A30" i="2" s="1"/>
  <c r="A12" i="3" s="1"/>
  <c r="A9" i="3" s="1"/>
  <c r="A19" i="3" s="1"/>
  <c r="A16" i="3" s="1"/>
  <c r="A26" i="3" s="1"/>
  <c r="A23" i="3" s="1"/>
  <c r="A33" i="3" s="1"/>
  <c r="A30" i="3" s="1"/>
  <c r="A12" i="4" s="1"/>
  <c r="A9" i="4" s="1"/>
  <c r="A19" i="4" s="1"/>
  <c r="A16" i="4" s="1"/>
  <c r="A26" i="4" s="1"/>
  <c r="A23" i="4" s="1"/>
  <c r="A33" i="4" s="1"/>
  <c r="A30" i="4" s="1"/>
  <c r="A12" i="5" s="1"/>
  <c r="A9" i="5" s="1"/>
  <c r="A19" i="5" s="1"/>
  <c r="A16" i="5" s="1"/>
  <c r="A26" i="5" s="1"/>
  <c r="A23" i="5" s="1"/>
  <c r="A33" i="5" s="1"/>
  <c r="A30" i="5" s="1"/>
  <c r="A12" i="6" s="1"/>
  <c r="A9" i="6" s="1"/>
  <c r="A19" i="6" s="1"/>
  <c r="A16" i="6" s="1"/>
  <c r="A26" i="6" s="1"/>
  <c r="A23" i="6" s="1"/>
  <c r="A33" i="6" s="1"/>
  <c r="A30" i="6" s="1"/>
  <c r="A12" i="7" s="1"/>
  <c r="A9" i="7" s="1"/>
  <c r="A19" i="7" s="1"/>
  <c r="A16" i="7" s="1"/>
  <c r="A26" i="7" s="1"/>
  <c r="A23" i="7" s="1"/>
  <c r="A33" i="7" s="1"/>
  <c r="A30" i="7" s="1"/>
  <c r="A12" i="8" s="1"/>
  <c r="A9" i="8" s="1"/>
  <c r="A19" i="8" s="1"/>
  <c r="A16" i="8" s="1"/>
  <c r="A26" i="8" s="1"/>
  <c r="A23" i="8" s="1"/>
  <c r="A33" i="8" s="1"/>
  <c r="A30" i="8" s="1"/>
  <c r="A12" i="9" s="1"/>
  <c r="A9" i="9" s="1"/>
  <c r="A19" i="9" s="1"/>
  <c r="A16" i="9" s="1"/>
  <c r="A26" i="9" s="1"/>
  <c r="A23" i="9" s="1"/>
  <c r="A33" i="9" s="1"/>
  <c r="A30" i="9" s="1"/>
  <c r="A12" i="10" s="1"/>
  <c r="A9" i="10" s="1"/>
  <c r="A19" i="10" s="1"/>
  <c r="A16" i="10" s="1"/>
  <c r="A26" i="10" s="1"/>
  <c r="A23" i="10" s="1"/>
  <c r="A33" i="10" s="1"/>
  <c r="A30" i="10" s="1"/>
  <c r="A12" i="11" s="1"/>
  <c r="A9" i="11" s="1"/>
  <c r="A19" i="11" s="1"/>
  <c r="A16" i="11" s="1"/>
  <c r="A26" i="11" s="1"/>
  <c r="A23" i="11" s="1"/>
  <c r="A33" i="11" s="1"/>
  <c r="A30" i="11" s="1"/>
  <c r="A12" i="12" s="1"/>
  <c r="A9" i="12" s="1"/>
  <c r="A19" i="12" s="1"/>
  <c r="A16" i="12" s="1"/>
  <c r="A26" i="12" s="1"/>
  <c r="A23" i="12" s="1"/>
  <c r="A33" i="12" s="1"/>
  <c r="A30" i="12" s="1"/>
  <c r="A12" i="13" s="1"/>
  <c r="A9" i="13" s="1"/>
  <c r="A19" i="13" s="1"/>
  <c r="A16" i="13" s="1"/>
  <c r="A26" i="13" s="1"/>
  <c r="A23" i="13" s="1"/>
  <c r="A33" i="13" s="1"/>
  <c r="A30" i="13" s="1"/>
  <c r="A12" i="14" s="1"/>
  <c r="A9" i="14" s="1"/>
  <c r="A19" i="14" s="1"/>
  <c r="A16" i="14" s="1"/>
  <c r="A26" i="14" s="1"/>
  <c r="A23" i="14" s="1"/>
  <c r="A33" i="14" s="1"/>
  <c r="A30" i="14" s="1"/>
  <c r="N8" i="2"/>
  <c r="G8" i="2"/>
  <c r="I5" i="2"/>
  <c r="I4" i="2"/>
  <c r="O2" i="2"/>
  <c r="C2" i="2"/>
  <c r="E7" i="1"/>
  <c r="I29" i="14" l="1"/>
  <c r="G35" i="14"/>
  <c r="I35" i="14" s="1"/>
  <c r="Q37" i="14" s="1"/>
  <c r="I18" i="14"/>
  <c r="G21" i="14"/>
  <c r="I21" i="14" s="1"/>
  <c r="G14" i="14"/>
  <c r="I8" i="14"/>
  <c r="G35" i="13"/>
  <c r="I35" i="13" s="1"/>
  <c r="I29" i="13"/>
  <c r="I22" i="13"/>
  <c r="G28" i="13"/>
  <c r="I28" i="13" s="1"/>
  <c r="G21" i="13"/>
  <c r="I21" i="13" s="1"/>
  <c r="I15" i="13"/>
  <c r="I8" i="13"/>
  <c r="G14" i="13"/>
  <c r="I29" i="12"/>
  <c r="G35" i="12"/>
  <c r="I35" i="12" s="1"/>
  <c r="G28" i="12"/>
  <c r="I28" i="12" s="1"/>
  <c r="I22" i="12"/>
  <c r="I15" i="12"/>
  <c r="G21" i="12"/>
  <c r="I21" i="12" s="1"/>
  <c r="G14" i="12"/>
  <c r="I8" i="12"/>
  <c r="I30" i="11"/>
  <c r="G35" i="11"/>
  <c r="I35" i="11" s="1"/>
  <c r="I22" i="11"/>
  <c r="G28" i="11"/>
  <c r="I28" i="11" s="1"/>
  <c r="G21" i="11"/>
  <c r="I21" i="11" s="1"/>
  <c r="I15" i="11"/>
  <c r="I8" i="11"/>
  <c r="G14" i="11"/>
  <c r="I29" i="10"/>
  <c r="G35" i="10"/>
  <c r="I35" i="10" s="1"/>
  <c r="G28" i="10"/>
  <c r="I28" i="10" s="1"/>
  <c r="I22" i="10"/>
  <c r="G21" i="10"/>
  <c r="I21" i="10" s="1"/>
  <c r="I15" i="10"/>
  <c r="I8" i="10"/>
  <c r="G14" i="10"/>
  <c r="I29" i="9"/>
  <c r="G35" i="9"/>
  <c r="I35" i="9" s="1"/>
  <c r="G28" i="9"/>
  <c r="I28" i="9" s="1"/>
  <c r="I22" i="9"/>
  <c r="G21" i="9"/>
  <c r="I21" i="9" s="1"/>
  <c r="I15" i="9"/>
  <c r="I12" i="9"/>
  <c r="G14" i="9"/>
  <c r="G35" i="8"/>
  <c r="I35" i="8" s="1"/>
  <c r="I29" i="8"/>
  <c r="I22" i="8"/>
  <c r="G28" i="8"/>
  <c r="I28" i="8" s="1"/>
  <c r="G21" i="8"/>
  <c r="I21" i="8" s="1"/>
  <c r="I15" i="8"/>
  <c r="I8" i="8"/>
  <c r="G14" i="8"/>
  <c r="I34" i="7"/>
  <c r="G35" i="7"/>
  <c r="I35" i="7" s="1"/>
  <c r="G28" i="7"/>
  <c r="I28" i="7" s="1"/>
  <c r="I22" i="7"/>
  <c r="G21" i="7"/>
  <c r="I21" i="7" s="1"/>
  <c r="I15" i="7"/>
  <c r="G36" i="7"/>
  <c r="I36" i="7" s="1"/>
  <c r="I14" i="7"/>
  <c r="I29" i="6"/>
  <c r="G35" i="6"/>
  <c r="I35" i="6" s="1"/>
  <c r="I22" i="6"/>
  <c r="G28" i="6"/>
  <c r="I28" i="6" s="1"/>
  <c r="G21" i="6"/>
  <c r="I21" i="6" s="1"/>
  <c r="I15" i="6"/>
  <c r="I8" i="6"/>
  <c r="G14" i="6"/>
  <c r="I29" i="5"/>
  <c r="G35" i="5"/>
  <c r="I35" i="5" s="1"/>
  <c r="I22" i="5"/>
  <c r="G28" i="5"/>
  <c r="I28" i="5" s="1"/>
  <c r="I15" i="5"/>
  <c r="G21" i="5"/>
  <c r="I21" i="5" s="1"/>
  <c r="I8" i="5"/>
  <c r="G14" i="5"/>
  <c r="G35" i="4"/>
  <c r="I35" i="4" s="1"/>
  <c r="I29" i="4"/>
  <c r="I26" i="4"/>
  <c r="G28" i="4"/>
  <c r="I28" i="4" s="1"/>
  <c r="I15" i="4"/>
  <c r="G21" i="4"/>
  <c r="I21" i="4" s="1"/>
  <c r="I8" i="4"/>
  <c r="G14" i="4"/>
  <c r="G35" i="3"/>
  <c r="I35" i="3" s="1"/>
  <c r="I29" i="3"/>
  <c r="G28" i="3"/>
  <c r="I28" i="3" s="1"/>
  <c r="I22" i="3"/>
  <c r="I15" i="3"/>
  <c r="G21" i="3"/>
  <c r="I21" i="3" s="1"/>
  <c r="G14" i="3"/>
  <c r="I8" i="3"/>
  <c r="G35" i="2"/>
  <c r="I35" i="2" s="1"/>
  <c r="I29" i="2"/>
  <c r="I22" i="2"/>
  <c r="G28" i="2"/>
  <c r="I28" i="2" s="1"/>
  <c r="G21" i="2"/>
  <c r="I21" i="2" s="1"/>
  <c r="I15" i="2"/>
  <c r="G14" i="2"/>
  <c r="I8" i="2"/>
  <c r="K6" i="2"/>
  <c r="K14" i="2" s="1"/>
  <c r="A3" i="2"/>
  <c r="A3" i="4"/>
  <c r="A3" i="5"/>
  <c r="A3" i="7"/>
  <c r="A3" i="8"/>
  <c r="A3" i="9"/>
  <c r="A3" i="10"/>
  <c r="A3" i="11"/>
  <c r="A3" i="12"/>
  <c r="A3" i="13"/>
  <c r="A3" i="6"/>
  <c r="A3" i="14"/>
  <c r="A3" i="3"/>
  <c r="I14" i="14" l="1"/>
  <c r="G36" i="14"/>
  <c r="I36" i="14" s="1"/>
  <c r="Q37" i="13"/>
  <c r="I5" i="14"/>
  <c r="I14" i="13"/>
  <c r="G36" i="13"/>
  <c r="I36" i="13" s="1"/>
  <c r="Q37" i="12"/>
  <c r="I5" i="13"/>
  <c r="I14" i="12"/>
  <c r="G36" i="12"/>
  <c r="I36" i="12" s="1"/>
  <c r="Q37" i="11"/>
  <c r="I5" i="12"/>
  <c r="I14" i="11"/>
  <c r="G36" i="11"/>
  <c r="I36" i="11" s="1"/>
  <c r="Q37" i="10"/>
  <c r="I5" i="11"/>
  <c r="I14" i="10"/>
  <c r="G36" i="10"/>
  <c r="I36" i="10" s="1"/>
  <c r="Q37" i="9"/>
  <c r="I5" i="10"/>
  <c r="I14" i="9"/>
  <c r="G36" i="9"/>
  <c r="I36" i="9" s="1"/>
  <c r="Q37" i="8"/>
  <c r="I5" i="9"/>
  <c r="I14" i="8"/>
  <c r="G36" i="8"/>
  <c r="I36" i="8" s="1"/>
  <c r="Q37" i="7"/>
  <c r="I5" i="8"/>
  <c r="Q37" i="6"/>
  <c r="I5" i="7"/>
  <c r="G36" i="6"/>
  <c r="I36" i="6" s="1"/>
  <c r="I14" i="6"/>
  <c r="Q37" i="5"/>
  <c r="I5" i="6"/>
  <c r="I14" i="5"/>
  <c r="G36" i="5"/>
  <c r="I36" i="5" s="1"/>
  <c r="Q37" i="4"/>
  <c r="I5" i="5"/>
  <c r="I14" i="4"/>
  <c r="G36" i="4"/>
  <c r="I36" i="4" s="1"/>
  <c r="Q37" i="3"/>
  <c r="I5" i="4"/>
  <c r="I14" i="3"/>
  <c r="G36" i="3"/>
  <c r="I36" i="3" s="1"/>
  <c r="Q37" i="2"/>
  <c r="I5" i="3"/>
  <c r="I14" i="2"/>
  <c r="G36" i="2"/>
  <c r="I36" i="2" s="1"/>
  <c r="K21" i="2"/>
  <c r="L6" i="2"/>
  <c r="M6" i="2" l="1"/>
  <c r="K28" i="2" s="1"/>
  <c r="K35" i="2" l="1"/>
  <c r="K36" i="2" s="1"/>
  <c r="N6" i="2"/>
  <c r="Q36" i="2" l="1"/>
  <c r="I4" i="3"/>
  <c r="K6" i="3" l="1"/>
  <c r="K14" i="3"/>
  <c r="K21" i="3" l="1"/>
  <c r="L6" i="3"/>
  <c r="K28" i="3" l="1"/>
  <c r="M6" i="3"/>
  <c r="K35" i="3" l="1"/>
  <c r="K36" i="3" s="1"/>
  <c r="N6" i="3"/>
  <c r="Q36" i="3" l="1"/>
  <c r="I4" i="4"/>
  <c r="K6" i="4" l="1"/>
  <c r="K14" i="4"/>
  <c r="K21" i="4" l="1"/>
  <c r="L6" i="4"/>
  <c r="M6" i="4" l="1"/>
  <c r="K28" i="4" s="1"/>
  <c r="K35" i="4" l="1"/>
  <c r="K36" i="4" s="1"/>
  <c r="N6" i="4"/>
  <c r="I4" i="5" l="1"/>
  <c r="Q36" i="4"/>
  <c r="K6" i="5" l="1"/>
  <c r="K14" i="5"/>
  <c r="L6" i="5" l="1"/>
  <c r="K21" i="5" s="1"/>
  <c r="M6" i="5" l="1"/>
  <c r="K28" i="5"/>
  <c r="N6" i="5" l="1"/>
  <c r="K35" i="5"/>
  <c r="K36" i="5" s="1"/>
  <c r="Q36" i="5" l="1"/>
  <c r="I4" i="6"/>
  <c r="K6" i="6" l="1"/>
  <c r="K14" i="6" s="1"/>
  <c r="L6" i="6" l="1"/>
  <c r="K21" i="6" s="1"/>
  <c r="M6" i="6" l="1"/>
  <c r="K28" i="6" s="1"/>
  <c r="N6" i="6" l="1"/>
  <c r="K35" i="6" s="1"/>
  <c r="K36" i="6" s="1"/>
  <c r="Q36" i="6" l="1"/>
  <c r="I4" i="7"/>
  <c r="K6" i="7" l="1"/>
  <c r="K14" i="7" s="1"/>
  <c r="L6" i="7" l="1"/>
  <c r="K21" i="7" s="1"/>
  <c r="K28" i="7" l="1"/>
  <c r="M6" i="7"/>
  <c r="K35" i="7" l="1"/>
  <c r="K36" i="7" s="1"/>
  <c r="N6" i="7"/>
  <c r="Q36" i="7" l="1"/>
  <c r="I4" i="8"/>
  <c r="K6" i="8" l="1"/>
  <c r="K14" i="8" s="1"/>
  <c r="L6" i="8" l="1"/>
  <c r="K21" i="8" s="1"/>
  <c r="M6" i="8" l="1"/>
  <c r="K28" i="8" s="1"/>
  <c r="N6" i="8" l="1"/>
  <c r="K35" i="8" s="1"/>
  <c r="K36" i="8" s="1"/>
  <c r="Q36" i="8" l="1"/>
  <c r="I4" i="9"/>
  <c r="K6" i="9" l="1"/>
  <c r="K14" i="9" s="1"/>
  <c r="L6" i="9" l="1"/>
  <c r="K21" i="9" s="1"/>
  <c r="M6" i="9" l="1"/>
  <c r="K28" i="9" s="1"/>
  <c r="N6" i="9" l="1"/>
  <c r="K35" i="9" s="1"/>
  <c r="K36" i="9" s="1"/>
  <c r="Q36" i="9" l="1"/>
  <c r="I4" i="10"/>
  <c r="K6" i="10" l="1"/>
  <c r="K14" i="10" s="1"/>
  <c r="L6" i="10" l="1"/>
  <c r="K21" i="10" s="1"/>
  <c r="M6" i="10" l="1"/>
  <c r="K28" i="10" s="1"/>
  <c r="K35" i="10" l="1"/>
  <c r="K36" i="10" s="1"/>
  <c r="N6" i="10"/>
  <c r="Q36" i="10" l="1"/>
  <c r="I4" i="11"/>
  <c r="K6" i="11" l="1"/>
  <c r="K14" i="11" s="1"/>
  <c r="L6" i="11" l="1"/>
  <c r="K21" i="11" s="1"/>
  <c r="M6" i="11" l="1"/>
  <c r="K28" i="11" s="1"/>
  <c r="N6" i="11" l="1"/>
  <c r="K35" i="11" s="1"/>
  <c r="K36" i="11" s="1"/>
  <c r="Q36" i="11" l="1"/>
  <c r="I4" i="12"/>
  <c r="K6" i="12" l="1"/>
  <c r="K14" i="12" s="1"/>
  <c r="L6" i="12" l="1"/>
  <c r="K21" i="12" s="1"/>
  <c r="M6" i="12" l="1"/>
  <c r="K28" i="12" s="1"/>
  <c r="N6" i="12" l="1"/>
  <c r="K35" i="12" s="1"/>
  <c r="K36" i="12" s="1"/>
  <c r="Q36" i="12" l="1"/>
  <c r="I4" i="13"/>
  <c r="K6" i="13" l="1"/>
  <c r="K14" i="13" s="1"/>
  <c r="K21" i="13" l="1"/>
  <c r="L6" i="13"/>
  <c r="M6" i="13" l="1"/>
  <c r="K28" i="13" s="1"/>
  <c r="N6" i="13" l="1"/>
  <c r="K35" i="13" s="1"/>
  <c r="K36" i="13" s="1"/>
  <c r="Q36" i="13" l="1"/>
  <c r="I4" i="14"/>
  <c r="K6" i="14" l="1"/>
  <c r="K14" i="14" s="1"/>
  <c r="L6" i="14" l="1"/>
  <c r="K21" i="14" s="1"/>
  <c r="M6" i="14" l="1"/>
  <c r="K28" i="14" s="1"/>
  <c r="N6" i="14" l="1"/>
  <c r="K35" i="14" s="1"/>
  <c r="K36" i="14" s="1"/>
  <c r="Q36" i="14" s="1"/>
</calcChain>
</file>

<file path=xl/sharedStrings.xml><?xml version="1.0" encoding="utf-8"?>
<sst xmlns="http://schemas.openxmlformats.org/spreadsheetml/2006/main" count="885" uniqueCount="64">
  <si>
    <t>Personalangaben</t>
  </si>
  <si>
    <t>Name, Vorname</t>
  </si>
  <si>
    <t>Einrichtung</t>
  </si>
  <si>
    <t>Arbeitsumfang in Prozent</t>
  </si>
  <si>
    <t>Stundenumpfang in Stunden:Minuten</t>
  </si>
  <si>
    <t>Alternativer Stundenumpfang (St:Min)</t>
  </si>
  <si>
    <t>Ferienbetreuung Ja/Nein</t>
  </si>
  <si>
    <t>ja</t>
  </si>
  <si>
    <t>Arbeitstage/ Woche</t>
  </si>
  <si>
    <t>Überstunden letztes Jahr</t>
  </si>
  <si>
    <t>Übertrag letztes Blatt 4. Woche</t>
  </si>
  <si>
    <t>erster Montag im Jahr</t>
  </si>
  <si>
    <t>nein</t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</si>
  <si>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</si>
  <si>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t xml:space="preserve">Name: </t>
  </si>
  <si>
    <t>TE</t>
  </si>
  <si>
    <t>Std / Woche</t>
  </si>
  <si>
    <t xml:space="preserve"> gesamte Arbeitszeit</t>
  </si>
  <si>
    <t>VZ-Zeiten</t>
  </si>
  <si>
    <t>Übertrag der Gesamtstunden aus letztem Blatt</t>
  </si>
  <si>
    <t>Übertrag der Mehrarbeit aus vierter Woche vom letzten Blatt</t>
  </si>
  <si>
    <t>KW</t>
  </si>
  <si>
    <t>Soll</t>
  </si>
  <si>
    <t>von</t>
  </si>
  <si>
    <t>bis</t>
  </si>
  <si>
    <t>Pause</t>
  </si>
  <si>
    <t>Ist</t>
  </si>
  <si>
    <t>U/K/F/AB</t>
  </si>
  <si>
    <t>Haben/ Woche</t>
  </si>
  <si>
    <t>AZ aus Bereit-schaft</t>
  </si>
  <si>
    <t>Haben ges.</t>
  </si>
  <si>
    <t>Haben</t>
  </si>
  <si>
    <t>außer Haus</t>
  </si>
  <si>
    <t>Begründung für Abweichung Soll / Ist bei VZ</t>
  </si>
  <si>
    <t>bei relevanter Abweichung von der Soll-Arbeitszeit (= mehr als 30 min.) Begründung</t>
  </si>
  <si>
    <t>Mo</t>
  </si>
  <si>
    <t>Di</t>
  </si>
  <si>
    <t>Mi</t>
  </si>
  <si>
    <t>-</t>
  </si>
  <si>
    <t>Do</t>
  </si>
  <si>
    <t>Fr</t>
  </si>
  <si>
    <t>Sonst</t>
  </si>
  <si>
    <t>∑</t>
  </si>
  <si>
    <t>Gesamtstunden 
= Übertrag auf neues Blatt</t>
  </si>
  <si>
    <t>Mehrarbeit in der vierten Woche
 = Übertrag auf neues Blatt</t>
  </si>
  <si>
    <t>U</t>
  </si>
  <si>
    <t>K</t>
  </si>
  <si>
    <t>Datum</t>
  </si>
  <si>
    <t>Unterschrift Mitarbeiter/-in</t>
  </si>
  <si>
    <t>F</t>
  </si>
  <si>
    <t>AB</t>
  </si>
  <si>
    <t>Unterschrift Leitung</t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</si>
  <si>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</si>
  <si>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</si>
  <si>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</si>
  <si>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</si>
  <si>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</si>
  <si>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</si>
  <si>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</si>
  <si>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</si>
  <si>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</si>
  <si>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</si>
  <si>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</si>
  <si>
    <r>
      <rPr>
        <b/>
        <sz val="20"/>
        <color theme="1"/>
        <rFont val="Arial"/>
      </rPr>
      <t>Arbeitszeiterfassung (Freizeitausgleich)</t>
    </r>
    <r>
      <rPr>
        <sz val="10"/>
        <color theme="1"/>
        <rFont val="Arial"/>
      </rPr>
      <t xml:space="preserve">
</t>
    </r>
    <r>
      <rPr>
        <sz val="11"/>
        <color theme="1"/>
        <rFont val="Arial"/>
      </rPr>
      <t>(Dieser Vordruck ist zu verwenden, wenn auf der Erklärung die Option "Freizeitausgleich" angekreuzt wurde)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</si>
</sst>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hh]:mm"/>
    <numFmt numFmtId="165" formatCode="dd/mm/yy"/>
    <numFmt numFmtId="166" formatCode="[h]:mm"/>
    <numFmt numFmtId="167" formatCode="dd/mm/"/>
    <numFmt numFmtId="168" formatCode="[hhh]:mm"/>
    <numFmt numFmtId="169" formatCode="d/m/yyyy"/>
  </numFmts>
  <fonts count="16" x14ac:knownFonts="1">
    <font>
      <sz val="10"/>
      <color rgb="FF000000"/>
      <name val="Calibri"/>
      <scheme val="minor"/>
    </font>
    <font>
      <b/>
      <sz val="16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name val="Calibri"/>
    </font>
    <font>
      <sz val="10"/>
      <color theme="0"/>
      <name val="Arial"/>
    </font>
    <font>
      <b/>
      <sz val="10"/>
      <color theme="0"/>
      <name val="Arial"/>
    </font>
    <font>
      <b/>
      <sz val="10"/>
      <color theme="1"/>
      <name val="Arial"/>
    </font>
    <font>
      <sz val="18"/>
      <color theme="1"/>
      <name val="Arial"/>
    </font>
    <font>
      <sz val="28"/>
      <color theme="1"/>
      <name val="Arial"/>
    </font>
    <font>
      <b/>
      <sz val="9"/>
      <color theme="1"/>
      <name val="Arial"/>
    </font>
    <font>
      <b/>
      <sz val="12"/>
      <color rgb="FFA5A5A5"/>
      <name val="Arial"/>
    </font>
    <font>
      <b/>
      <sz val="12"/>
      <color theme="1"/>
      <name val="Arial"/>
    </font>
    <font>
      <b/>
      <sz val="10"/>
      <color rgb="FFFF0000"/>
      <name val="Arial"/>
    </font>
    <font>
      <b/>
      <sz val="11"/>
      <color theme="1"/>
      <name val="Arial"/>
    </font>
    <font>
      <b/>
      <sz val="2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4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3" borderId="9" xfId="0" applyFont="1" applyFill="1" applyBorder="1" applyAlignment="1">
      <alignment horizontal="center"/>
    </xf>
    <xf numFmtId="2" fontId="5" fillId="0" borderId="0" xfId="0" applyNumberFormat="1" applyFont="1"/>
    <xf numFmtId="20" fontId="2" fillId="0" borderId="0" xfId="0" applyNumberFormat="1" applyFont="1"/>
    <xf numFmtId="0" fontId="3" fillId="2" borderId="10" xfId="0" applyFont="1" applyFill="1" applyBorder="1"/>
    <xf numFmtId="164" fontId="3" fillId="4" borderId="11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right"/>
    </xf>
    <xf numFmtId="164" fontId="5" fillId="0" borderId="0" xfId="0" applyNumberFormat="1" applyFont="1"/>
    <xf numFmtId="17" fontId="3" fillId="2" borderId="12" xfId="0" applyNumberFormat="1" applyFont="1" applyFill="1" applyBorder="1"/>
    <xf numFmtId="20" fontId="3" fillId="2" borderId="13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2" borderId="12" xfId="0" applyFont="1" applyFill="1" applyBorder="1"/>
    <xf numFmtId="2" fontId="2" fillId="0" borderId="0" xfId="0" applyNumberFormat="1" applyFont="1"/>
    <xf numFmtId="164" fontId="3" fillId="3" borderId="9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164" fontId="3" fillId="3" borderId="11" xfId="0" applyNumberFormat="1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17" fontId="2" fillId="0" borderId="0" xfId="0" applyNumberFormat="1" applyFont="1"/>
    <xf numFmtId="0" fontId="5" fillId="0" borderId="0" xfId="0" applyFont="1"/>
    <xf numFmtId="0" fontId="2" fillId="0" borderId="0" xfId="0" applyFont="1" applyAlignment="1">
      <alignment wrapText="1"/>
    </xf>
    <xf numFmtId="0" fontId="8" fillId="5" borderId="24" xfId="0" applyFont="1" applyFill="1" applyBorder="1" applyAlignment="1">
      <alignment wrapText="1"/>
    </xf>
    <xf numFmtId="166" fontId="7" fillId="5" borderId="26" xfId="0" applyNumberFormat="1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8" xfId="0" applyFont="1" applyBorder="1"/>
    <xf numFmtId="0" fontId="2" fillId="0" borderId="2" xfId="0" applyFont="1" applyBorder="1"/>
    <xf numFmtId="0" fontId="9" fillId="0" borderId="27" xfId="0" applyFont="1" applyBorder="1" applyAlignment="1">
      <alignment horizontal="center" vertical="center"/>
    </xf>
    <xf numFmtId="0" fontId="10" fillId="0" borderId="3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166" fontId="2" fillId="5" borderId="32" xfId="0" applyNumberFormat="1" applyFont="1" applyFill="1" applyBorder="1" applyAlignment="1">
      <alignment horizontal="right"/>
    </xf>
    <xf numFmtId="49" fontId="2" fillId="0" borderId="30" xfId="0" applyNumberFormat="1" applyFont="1" applyBorder="1"/>
    <xf numFmtId="0" fontId="2" fillId="0" borderId="33" xfId="0" applyFont="1" applyBorder="1"/>
    <xf numFmtId="0" fontId="2" fillId="0" borderId="34" xfId="0" applyFont="1" applyBorder="1"/>
    <xf numFmtId="0" fontId="9" fillId="0" borderId="0" xfId="0" applyFont="1" applyAlignment="1">
      <alignment horizontal="center" vertical="center"/>
    </xf>
    <xf numFmtId="0" fontId="10" fillId="0" borderId="33" xfId="0" applyFont="1" applyBorder="1" applyAlignment="1">
      <alignment wrapText="1"/>
    </xf>
    <xf numFmtId="0" fontId="10" fillId="0" borderId="30" xfId="0" applyFont="1" applyBorder="1" applyAlignment="1">
      <alignment wrapText="1"/>
    </xf>
    <xf numFmtId="0" fontId="7" fillId="0" borderId="6" xfId="0" applyFont="1" applyBorder="1" applyAlignment="1">
      <alignment horizontal="center" vertical="center"/>
    </xf>
    <xf numFmtId="49" fontId="7" fillId="0" borderId="30" xfId="0" applyNumberFormat="1" applyFont="1" applyBorder="1"/>
    <xf numFmtId="0" fontId="2" fillId="0" borderId="30" xfId="0" applyFont="1" applyBorder="1"/>
    <xf numFmtId="0" fontId="2" fillId="0" borderId="29" xfId="0" applyFont="1" applyBorder="1"/>
    <xf numFmtId="0" fontId="2" fillId="0" borderId="0" xfId="0" applyFont="1" applyAlignment="1">
      <alignment horizontal="center" vertical="center"/>
    </xf>
    <xf numFmtId="164" fontId="2" fillId="0" borderId="36" xfId="0" applyNumberFormat="1" applyFont="1" applyBorder="1"/>
    <xf numFmtId="0" fontId="10" fillId="0" borderId="36" xfId="0" applyFont="1" applyBorder="1" applyAlignment="1">
      <alignment wrapText="1"/>
    </xf>
    <xf numFmtId="49" fontId="7" fillId="0" borderId="0" xfId="0" applyNumberFormat="1" applyFont="1" applyAlignment="1">
      <alignment horizontal="right"/>
    </xf>
    <xf numFmtId="0" fontId="2" fillId="0" borderId="37" xfId="0" applyFont="1" applyBorder="1" applyAlignment="1">
      <alignment textRotation="90" wrapText="1"/>
    </xf>
    <xf numFmtId="0" fontId="2" fillId="0" borderId="38" xfId="0" applyFont="1" applyBorder="1" applyAlignment="1">
      <alignment textRotation="90" wrapText="1"/>
    </xf>
    <xf numFmtId="0" fontId="2" fillId="0" borderId="39" xfId="0" applyFont="1" applyBorder="1" applyAlignment="1">
      <alignment textRotation="90" wrapText="1"/>
    </xf>
    <xf numFmtId="0" fontId="2" fillId="0" borderId="40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textRotation="90" wrapText="1"/>
    </xf>
    <xf numFmtId="0" fontId="2" fillId="0" borderId="41" xfId="0" applyFont="1" applyBorder="1" applyAlignment="1">
      <alignment textRotation="90" wrapText="1"/>
    </xf>
    <xf numFmtId="0" fontId="2" fillId="0" borderId="38" xfId="0" applyFont="1" applyBorder="1" applyAlignment="1">
      <alignment wrapText="1"/>
    </xf>
    <xf numFmtId="166" fontId="2" fillId="0" borderId="0" xfId="0" applyNumberFormat="1" applyFont="1"/>
    <xf numFmtId="0" fontId="11" fillId="5" borderId="42" xfId="0" applyFont="1" applyFill="1" applyBorder="1" applyAlignment="1">
      <alignment vertical="center" textRotation="90"/>
    </xf>
    <xf numFmtId="0" fontId="2" fillId="0" borderId="3" xfId="0" applyFont="1" applyBorder="1"/>
    <xf numFmtId="166" fontId="2" fillId="5" borderId="43" xfId="0" applyNumberFormat="1" applyFont="1" applyFill="1" applyBorder="1" applyAlignment="1">
      <alignment horizontal="right"/>
    </xf>
    <xf numFmtId="20" fontId="2" fillId="5" borderId="44" xfId="0" applyNumberFormat="1" applyFont="1" applyFill="1" applyBorder="1" applyAlignment="1">
      <alignment horizontal="right"/>
    </xf>
    <xf numFmtId="166" fontId="2" fillId="5" borderId="44" xfId="0" applyNumberFormat="1" applyFont="1" applyFill="1" applyBorder="1" applyAlignment="1">
      <alignment horizontal="right"/>
    </xf>
    <xf numFmtId="166" fontId="2" fillId="0" borderId="44" xfId="0" applyNumberFormat="1" applyFont="1" applyBorder="1" applyAlignment="1">
      <alignment horizontal="right"/>
    </xf>
    <xf numFmtId="166" fontId="2" fillId="5" borderId="45" xfId="0" applyNumberFormat="1" applyFont="1" applyFill="1" applyBorder="1" applyAlignment="1">
      <alignment horizontal="center" vertical="center"/>
    </xf>
    <xf numFmtId="166" fontId="2" fillId="0" borderId="46" xfId="0" applyNumberFormat="1" applyFont="1" applyBorder="1" applyAlignment="1">
      <alignment horizontal="right"/>
    </xf>
    <xf numFmtId="166" fontId="2" fillId="0" borderId="27" xfId="0" applyNumberFormat="1" applyFont="1" applyBorder="1" applyAlignment="1">
      <alignment horizontal="right"/>
    </xf>
    <xf numFmtId="2" fontId="2" fillId="0" borderId="43" xfId="0" applyNumberFormat="1" applyFont="1" applyBorder="1"/>
    <xf numFmtId="0" fontId="2" fillId="0" borderId="46" xfId="0" applyFont="1" applyBorder="1" applyAlignment="1">
      <alignment wrapText="1"/>
    </xf>
    <xf numFmtId="166" fontId="2" fillId="0" borderId="6" xfId="0" applyNumberFormat="1" applyFont="1" applyBorder="1"/>
    <xf numFmtId="166" fontId="2" fillId="0" borderId="48" xfId="0" applyNumberFormat="1" applyFont="1" applyBorder="1" applyAlignment="1">
      <alignment horizontal="right"/>
    </xf>
    <xf numFmtId="166" fontId="2" fillId="5" borderId="48" xfId="0" applyNumberFormat="1" applyFont="1" applyFill="1" applyBorder="1" applyAlignment="1">
      <alignment horizontal="center" vertical="center"/>
    </xf>
    <xf numFmtId="166" fontId="2" fillId="0" borderId="49" xfId="0" applyNumberFormat="1" applyFont="1" applyBorder="1" applyAlignment="1">
      <alignment horizontal="right"/>
    </xf>
    <xf numFmtId="166" fontId="2" fillId="5" borderId="50" xfId="0" applyNumberFormat="1" applyFont="1" applyFill="1" applyBorder="1" applyAlignment="1">
      <alignment horizontal="right"/>
    </xf>
    <xf numFmtId="166" fontId="2" fillId="0" borderId="31" xfId="0" applyNumberFormat="1" applyFont="1" applyBorder="1" applyAlignment="1">
      <alignment horizontal="right"/>
    </xf>
    <xf numFmtId="166" fontId="2" fillId="5" borderId="48" xfId="0" applyNumberFormat="1" applyFont="1" applyFill="1" applyBorder="1" applyAlignment="1">
      <alignment horizontal="right"/>
    </xf>
    <xf numFmtId="2" fontId="2" fillId="0" borderId="50" xfId="0" applyNumberFormat="1" applyFont="1" applyBorder="1"/>
    <xf numFmtId="0" fontId="2" fillId="0" borderId="49" xfId="0" applyFont="1" applyBorder="1" applyAlignment="1">
      <alignment wrapText="1"/>
    </xf>
    <xf numFmtId="0" fontId="11" fillId="5" borderId="52" xfId="0" applyFont="1" applyFill="1" applyBorder="1" applyAlignment="1">
      <alignment horizontal="center" vertical="center" textRotation="90"/>
    </xf>
    <xf numFmtId="166" fontId="2" fillId="0" borderId="55" xfId="0" applyNumberFormat="1" applyFont="1" applyBorder="1" applyAlignment="1">
      <alignment horizontal="right"/>
    </xf>
    <xf numFmtId="166" fontId="2" fillId="5" borderId="56" xfId="0" applyNumberFormat="1" applyFont="1" applyFill="1" applyBorder="1" applyAlignment="1">
      <alignment horizontal="right"/>
    </xf>
    <xf numFmtId="166" fontId="2" fillId="0" borderId="35" xfId="0" applyNumberFormat="1" applyFont="1" applyBorder="1" applyAlignment="1">
      <alignment horizontal="right"/>
    </xf>
    <xf numFmtId="166" fontId="2" fillId="0" borderId="57" xfId="0" applyNumberFormat="1" applyFont="1" applyBorder="1" applyAlignment="1">
      <alignment horizontal="right"/>
    </xf>
    <xf numFmtId="2" fontId="2" fillId="0" borderId="58" xfId="0" applyNumberFormat="1" applyFont="1" applyBorder="1"/>
    <xf numFmtId="0" fontId="2" fillId="0" borderId="57" xfId="0" applyFont="1" applyBorder="1" applyAlignment="1">
      <alignment wrapText="1"/>
    </xf>
    <xf numFmtId="166" fontId="2" fillId="0" borderId="23" xfId="0" applyNumberFormat="1" applyFont="1" applyBorder="1"/>
    <xf numFmtId="166" fontId="2" fillId="5" borderId="59" xfId="0" applyNumberFormat="1" applyFont="1" applyFill="1" applyBorder="1" applyAlignment="1">
      <alignment horizontal="right"/>
    </xf>
    <xf numFmtId="20" fontId="2" fillId="5" borderId="60" xfId="0" applyNumberFormat="1" applyFont="1" applyFill="1" applyBorder="1" applyAlignment="1">
      <alignment horizontal="right"/>
    </xf>
    <xf numFmtId="166" fontId="2" fillId="5" borderId="60" xfId="0" applyNumberFormat="1" applyFont="1" applyFill="1" applyBorder="1" applyAlignment="1">
      <alignment horizontal="right"/>
    </xf>
    <xf numFmtId="166" fontId="2" fillId="0" borderId="60" xfId="0" applyNumberFormat="1" applyFont="1" applyBorder="1" applyAlignment="1">
      <alignment horizontal="right"/>
    </xf>
    <xf numFmtId="166" fontId="2" fillId="5" borderId="61" xfId="0" applyNumberFormat="1" applyFont="1" applyFill="1" applyBorder="1" applyAlignment="1">
      <alignment horizontal="center" vertical="center"/>
    </xf>
    <xf numFmtId="166" fontId="2" fillId="0" borderId="22" xfId="0" applyNumberFormat="1" applyFont="1" applyBorder="1" applyAlignment="1">
      <alignment horizontal="right"/>
    </xf>
    <xf numFmtId="166" fontId="2" fillId="0" borderId="62" xfId="0" applyNumberFormat="1" applyFont="1" applyBorder="1" applyAlignment="1">
      <alignment horizontal="right"/>
    </xf>
    <xf numFmtId="0" fontId="12" fillId="5" borderId="63" xfId="0" applyFont="1" applyFill="1" applyBorder="1"/>
    <xf numFmtId="166" fontId="7" fillId="0" borderId="64" xfId="0" applyNumberFormat="1" applyFont="1" applyBorder="1"/>
    <xf numFmtId="164" fontId="7" fillId="0" borderId="32" xfId="0" applyNumberFormat="1" applyFont="1" applyBorder="1" applyAlignment="1">
      <alignment horizontal="right"/>
    </xf>
    <xf numFmtId="20" fontId="7" fillId="0" borderId="65" xfId="0" applyNumberFormat="1" applyFont="1" applyBorder="1" applyAlignment="1">
      <alignment horizontal="right"/>
    </xf>
    <xf numFmtId="166" fontId="7" fillId="0" borderId="66" xfId="0" applyNumberFormat="1" applyFont="1" applyBorder="1" applyAlignment="1">
      <alignment horizontal="right"/>
    </xf>
    <xf numFmtId="166" fontId="7" fillId="0" borderId="67" xfId="0" applyNumberFormat="1" applyFont="1" applyBorder="1" applyAlignment="1">
      <alignment horizontal="center" vertical="center"/>
    </xf>
    <xf numFmtId="166" fontId="7" fillId="0" borderId="64" xfId="0" applyNumberFormat="1" applyFont="1" applyBorder="1" applyAlignment="1">
      <alignment horizontal="right"/>
    </xf>
    <xf numFmtId="166" fontId="7" fillId="0" borderId="32" xfId="0" applyNumberFormat="1" applyFont="1" applyBorder="1" applyAlignment="1">
      <alignment horizontal="right"/>
    </xf>
    <xf numFmtId="166" fontId="7" fillId="0" borderId="68" xfId="0" applyNumberFormat="1" applyFont="1" applyBorder="1" applyAlignment="1">
      <alignment horizontal="right"/>
    </xf>
    <xf numFmtId="166" fontId="7" fillId="0" borderId="69" xfId="0" applyNumberFormat="1" applyFont="1" applyBorder="1" applyAlignment="1">
      <alignment horizontal="right"/>
    </xf>
    <xf numFmtId="2" fontId="2" fillId="0" borderId="59" xfId="0" applyNumberFormat="1" applyFont="1" applyBorder="1"/>
    <xf numFmtId="0" fontId="2" fillId="0" borderId="62" xfId="0" applyFont="1" applyBorder="1" applyAlignment="1">
      <alignment wrapText="1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12" fillId="5" borderId="70" xfId="0" applyFont="1" applyFill="1" applyBorder="1"/>
    <xf numFmtId="0" fontId="7" fillId="0" borderId="71" xfId="0" applyFont="1" applyBorder="1"/>
    <xf numFmtId="164" fontId="7" fillId="0" borderId="69" xfId="0" applyNumberFormat="1" applyFont="1" applyBorder="1" applyAlignment="1">
      <alignment horizontal="right"/>
    </xf>
    <xf numFmtId="20" fontId="7" fillId="0" borderId="69" xfId="0" applyNumberFormat="1" applyFont="1" applyBorder="1" applyAlignment="1">
      <alignment horizontal="right"/>
    </xf>
    <xf numFmtId="166" fontId="13" fillId="0" borderId="0" xfId="0" applyNumberFormat="1" applyFont="1"/>
    <xf numFmtId="166" fontId="7" fillId="0" borderId="72" xfId="0" applyNumberFormat="1" applyFont="1" applyBorder="1" applyAlignment="1">
      <alignment horizontal="right"/>
    </xf>
    <xf numFmtId="0" fontId="12" fillId="0" borderId="43" xfId="0" applyFont="1" applyBorder="1"/>
    <xf numFmtId="0" fontId="14" fillId="0" borderId="72" xfId="0" applyFont="1" applyBorder="1"/>
    <xf numFmtId="168" fontId="7" fillId="0" borderId="73" xfId="0" applyNumberFormat="1" applyFont="1" applyBorder="1"/>
    <xf numFmtId="0" fontId="2" fillId="0" borderId="73" xfId="0" applyFont="1" applyBorder="1"/>
    <xf numFmtId="166" fontId="7" fillId="0" borderId="44" xfId="0" applyNumberFormat="1" applyFont="1" applyBorder="1"/>
    <xf numFmtId="166" fontId="7" fillId="0" borderId="74" xfId="0" applyNumberFormat="1" applyFont="1" applyBorder="1" applyAlignment="1">
      <alignment horizontal="center" vertical="center"/>
    </xf>
    <xf numFmtId="166" fontId="7" fillId="0" borderId="46" xfId="0" applyNumberFormat="1" applyFont="1" applyBorder="1" applyAlignment="1">
      <alignment horizontal="right"/>
    </xf>
    <xf numFmtId="166" fontId="7" fillId="0" borderId="27" xfId="0" applyNumberFormat="1" applyFont="1" applyBorder="1" applyAlignment="1">
      <alignment horizontal="right"/>
    </xf>
    <xf numFmtId="2" fontId="2" fillId="0" borderId="73" xfId="0" applyNumberFormat="1" applyFont="1" applyBorder="1"/>
    <xf numFmtId="2" fontId="2" fillId="0" borderId="44" xfId="0" applyNumberFormat="1" applyFont="1" applyBorder="1"/>
    <xf numFmtId="0" fontId="12" fillId="0" borderId="28" xfId="0" applyFont="1" applyBorder="1"/>
    <xf numFmtId="0" fontId="14" fillId="0" borderId="28" xfId="0" applyFont="1" applyBorder="1"/>
    <xf numFmtId="168" fontId="7" fillId="0" borderId="28" xfId="0" applyNumberFormat="1" applyFont="1" applyBorder="1"/>
    <xf numFmtId="166" fontId="7" fillId="0" borderId="28" xfId="0" applyNumberFormat="1" applyFont="1" applyBorder="1"/>
    <xf numFmtId="166" fontId="7" fillId="0" borderId="28" xfId="0" applyNumberFormat="1" applyFont="1" applyBorder="1" applyAlignment="1">
      <alignment horizontal="center" vertical="center"/>
    </xf>
    <xf numFmtId="166" fontId="7" fillId="0" borderId="28" xfId="0" applyNumberFormat="1" applyFont="1" applyBorder="1" applyAlignment="1">
      <alignment horizontal="right"/>
    </xf>
    <xf numFmtId="2" fontId="2" fillId="0" borderId="28" xfId="0" applyNumberFormat="1" applyFont="1" applyBorder="1"/>
    <xf numFmtId="2" fontId="2" fillId="0" borderId="75" xfId="0" applyNumberFormat="1" applyFont="1" applyBorder="1"/>
    <xf numFmtId="164" fontId="2" fillId="5" borderId="76" xfId="0" applyNumberFormat="1" applyFont="1" applyFill="1" applyBorder="1"/>
    <xf numFmtId="20" fontId="7" fillId="5" borderId="19" xfId="0" applyNumberFormat="1" applyFont="1" applyFill="1" applyBorder="1"/>
    <xf numFmtId="20" fontId="2" fillId="5" borderId="48" xfId="0" applyNumberFormat="1" applyFont="1" applyFill="1" applyBorder="1" applyAlignment="1">
      <alignment horizontal="right"/>
    </xf>
    <xf numFmtId="20" fontId="2" fillId="5" borderId="77" xfId="0" applyNumberFormat="1" applyFont="1" applyFill="1" applyBorder="1" applyAlignment="1">
      <alignment horizontal="right"/>
    </xf>
    <xf numFmtId="166" fontId="2" fillId="5" borderId="77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3" fillId="3" borderId="5" xfId="0" applyFont="1" applyFill="1" applyBorder="1" applyAlignment="1">
      <alignment horizontal="center"/>
    </xf>
    <xf numFmtId="0" fontId="4" fillId="0" borderId="6" xfId="0" applyFont="1" applyBorder="1"/>
    <xf numFmtId="0" fontId="3" fillId="2" borderId="14" xfId="0" applyFont="1" applyFill="1" applyBorder="1" applyAlignment="1">
      <alignment horizontal="left"/>
    </xf>
    <xf numFmtId="0" fontId="4" fillId="0" borderId="15" xfId="0" applyFont="1" applyBorder="1"/>
    <xf numFmtId="17" fontId="2" fillId="2" borderId="17" xfId="0" applyNumberFormat="1" applyFont="1" applyFill="1" applyBorder="1" applyAlignment="1">
      <alignment horizontal="right"/>
    </xf>
    <xf numFmtId="0" fontId="4" fillId="0" borderId="18" xfId="0" applyFont="1" applyBorder="1"/>
    <xf numFmtId="0" fontId="2" fillId="0" borderId="35" xfId="0" applyFont="1" applyBorder="1"/>
    <xf numFmtId="0" fontId="4" fillId="0" borderId="35" xfId="0" applyFont="1" applyBorder="1"/>
    <xf numFmtId="0" fontId="2" fillId="0" borderId="0" xfId="0" applyFont="1"/>
    <xf numFmtId="0" fontId="0" fillId="0" borderId="0" xfId="0"/>
    <xf numFmtId="0" fontId="14" fillId="0" borderId="67" xfId="0" applyFont="1" applyBorder="1" applyAlignment="1">
      <alignment wrapText="1"/>
    </xf>
    <xf numFmtId="0" fontId="4" fillId="0" borderId="68" xfId="0" applyFont="1" applyBorder="1"/>
    <xf numFmtId="0" fontId="4" fillId="0" borderId="69" xfId="0" applyFont="1" applyBorder="1"/>
    <xf numFmtId="0" fontId="14" fillId="0" borderId="74" xfId="0" applyFont="1" applyBorder="1" applyAlignment="1">
      <alignment wrapText="1"/>
    </xf>
    <xf numFmtId="0" fontId="4" fillId="0" borderId="27" xfId="0" applyFont="1" applyBorder="1"/>
    <xf numFmtId="0" fontId="4" fillId="0" borderId="73" xfId="0" applyFont="1" applyBorder="1"/>
    <xf numFmtId="169" fontId="2" fillId="0" borderId="0" xfId="0" applyNumberFormat="1" applyFont="1"/>
    <xf numFmtId="0" fontId="2" fillId="0" borderId="34" xfId="0" applyFont="1" applyBorder="1"/>
    <xf numFmtId="0" fontId="4" fillId="0" borderId="34" xfId="0" applyFont="1" applyBorder="1"/>
    <xf numFmtId="0" fontId="2" fillId="0" borderId="2" xfId="0" applyFont="1" applyBorder="1"/>
    <xf numFmtId="0" fontId="7" fillId="0" borderId="35" xfId="0" applyFont="1" applyBorder="1"/>
    <xf numFmtId="0" fontId="2" fillId="0" borderId="22" xfId="0" applyFont="1" applyBorder="1" applyAlignment="1">
      <alignment wrapText="1"/>
    </xf>
    <xf numFmtId="0" fontId="4" fillId="0" borderId="23" xfId="0" applyFont="1" applyBorder="1"/>
    <xf numFmtId="0" fontId="2" fillId="0" borderId="27" xfId="0" applyFont="1" applyBorder="1" applyAlignment="1">
      <alignment wrapText="1"/>
    </xf>
    <xf numFmtId="167" fontId="11" fillId="5" borderId="47" xfId="0" applyNumberFormat="1" applyFont="1" applyFill="1" applyBorder="1" applyAlignment="1">
      <alignment horizontal="center" vertical="center" textRotation="90"/>
    </xf>
    <xf numFmtId="0" fontId="4" fillId="0" borderId="51" xfId="0" applyFont="1" applyBorder="1"/>
    <xf numFmtId="167" fontId="11" fillId="5" borderId="47" xfId="0" applyNumberFormat="1" applyFont="1" applyFill="1" applyBorder="1" applyAlignment="1">
      <alignment horizontal="center" vertical="top" textRotation="90"/>
    </xf>
    <xf numFmtId="0" fontId="2" fillId="0" borderId="0" xfId="0" applyFont="1" applyAlignment="1">
      <alignment wrapText="1"/>
    </xf>
    <xf numFmtId="0" fontId="8" fillId="5" borderId="20" xfId="0" applyFont="1" applyFill="1" applyBorder="1" applyAlignment="1">
      <alignment wrapText="1"/>
    </xf>
    <xf numFmtId="0" fontId="2" fillId="5" borderId="21" xfId="0" applyFont="1" applyFill="1" applyBorder="1" applyAlignment="1">
      <alignment wrapText="1"/>
    </xf>
    <xf numFmtId="0" fontId="4" fillId="0" borderId="22" xfId="0" applyFont="1" applyBorder="1"/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4" fillId="0" borderId="31" xfId="0" applyFont="1" applyBorder="1"/>
    <xf numFmtId="0" fontId="4" fillId="0" borderId="25" xfId="0" applyFont="1" applyBorder="1"/>
    <xf numFmtId="0" fontId="2" fillId="0" borderId="53" xfId="0" applyFont="1" applyBorder="1" applyAlignment="1">
      <alignment wrapText="1"/>
    </xf>
    <xf numFmtId="0" fontId="4" fillId="0" borderId="54" xfId="0" applyFont="1" applyBorder="1"/>
    <xf numFmtId="0" fontId="2" fillId="0" borderId="31" xfId="0" applyFont="1" applyBorder="1" applyAlignment="1">
      <alignment wrapText="1"/>
    </xf>
    <xf numFmtId="0" fontId="2" fillId="0" borderId="35" xfId="0" applyFont="1" applyBorder="1" applyAlignment="1">
      <alignment wrapText="1"/>
    </xf>
    <xf numFmtId="0" fontId="4" fillId="0" borderId="36" xfId="0" applyFont="1" applyBorder="1"/>
    <xf numFmtId="166" fontId="12" fillId="0" borderId="74" xfId="0" applyNumberFormat="1" applyFont="1" applyBorder="1" applyAlignment="1">
      <alignment horizontal="left"/>
    </xf>
    <xf numFmtId="0" fontId="2" fillId="0" borderId="34" xfId="0" applyFont="1" applyBorder="1" applyAlignment="1">
      <alignment wrapText="1"/>
    </xf>
    <xf numFmtId="0" fontId="4" fillId="0" borderId="3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35" sqref="D35"/>
    </sheetView>
  </sheetViews>
  <sheetFormatPr baseColWidth="10" defaultColWidth="14.44140625" defaultRowHeight="15" customHeight="1" x14ac:dyDescent="0.3"/>
  <cols>
    <col min="1" max="1" width="21.33203125" customWidth="1"/>
    <col min="2" max="2" width="15.33203125" customWidth="1"/>
    <col min="3" max="3" width="13" customWidth="1"/>
    <col min="4" max="4" width="6.5546875" customWidth="1"/>
    <col min="5" max="5" width="9" customWidth="1"/>
    <col min="6" max="6" width="9.6640625" customWidth="1"/>
    <col min="7" max="7" width="6.88671875" customWidth="1"/>
    <col min="8" max="8" width="8.109375" customWidth="1"/>
    <col min="9" max="9" width="11.5546875" customWidth="1"/>
    <col min="10" max="26" width="10.6640625" customWidth="1"/>
  </cols>
  <sheetData>
    <row r="1" spans="1:26" ht="12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">
      <c r="A3" s="3" t="s">
        <v>1</v>
      </c>
      <c r="B3" s="138"/>
      <c r="C3" s="1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">
      <c r="A4" s="4" t="s">
        <v>2</v>
      </c>
      <c r="B4" s="140"/>
      <c r="C4" s="14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">
      <c r="A5" s="5" t="s">
        <v>3</v>
      </c>
      <c r="B5" s="6"/>
      <c r="C5" s="7"/>
      <c r="D5" s="2"/>
      <c r="E5" s="8">
        <v>100</v>
      </c>
      <c r="F5" s="2"/>
      <c r="G5" s="2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3">
      <c r="A6" s="5" t="s">
        <v>4</v>
      </c>
      <c r="B6" s="10"/>
      <c r="C6" s="11"/>
      <c r="D6" s="2"/>
      <c r="E6" s="12">
        <v>1.625</v>
      </c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">
      <c r="A7" s="5" t="s">
        <v>5</v>
      </c>
      <c r="B7" s="10"/>
      <c r="C7" s="11"/>
      <c r="D7" s="2"/>
      <c r="E7" s="13">
        <f>(E6/E5)*C5</f>
        <v>0</v>
      </c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">
      <c r="A8" s="14" t="s">
        <v>6</v>
      </c>
      <c r="B8" s="15"/>
      <c r="C8" s="1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">
      <c r="A9" s="17" t="s">
        <v>8</v>
      </c>
      <c r="B9" s="15"/>
      <c r="C9" s="16"/>
      <c r="D9" s="2"/>
      <c r="E9" s="2"/>
      <c r="F9" s="2"/>
      <c r="G9" s="2"/>
      <c r="H9" s="18"/>
      <c r="I9" s="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">
      <c r="A10" s="142" t="s">
        <v>9</v>
      </c>
      <c r="B10" s="143"/>
      <c r="C10" s="1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3">
      <c r="A11" s="20" t="s">
        <v>10</v>
      </c>
      <c r="B11" s="21"/>
      <c r="C11" s="2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3">
      <c r="A12" s="144" t="s">
        <v>11</v>
      </c>
      <c r="B12" s="145"/>
      <c r="C12" s="2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3">
      <c r="A13" s="24"/>
      <c r="B13" s="2"/>
      <c r="C13" s="2"/>
      <c r="D13" s="2"/>
      <c r="E13" s="2"/>
      <c r="F13" s="2"/>
      <c r="G13" s="2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">
      <c r="A14" s="2"/>
      <c r="B14" s="2"/>
      <c r="C14" s="2"/>
      <c r="D14" s="2"/>
      <c r="E14" s="2"/>
      <c r="F14" s="2"/>
      <c r="G14" s="2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">
      <c r="A53" s="2"/>
      <c r="B53" s="2"/>
      <c r="C53" s="25" t="s">
        <v>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">
      <c r="A54" s="2"/>
      <c r="B54" s="2"/>
      <c r="C54" s="25" t="s">
        <v>12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3:C3"/>
    <mergeCell ref="B4:C4"/>
    <mergeCell ref="A10:B10"/>
    <mergeCell ref="A12:B12"/>
  </mergeCells>
  <dataValidations count="1">
    <dataValidation type="list" allowBlank="1" showErrorMessage="1" sqref="C8" xr:uid="{00000000-0002-0000-0000-000000000000}">
      <formula1>$C$53:$C$54</formula1>
    </dataValidation>
  </dataValidations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00"/>
  <sheetViews>
    <sheetView topLeftCell="A5"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.5546875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13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37">
        <f>Stammangaben!C10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37">
        <f>Stammangaben!C11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4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63"/>
      <c r="R9" s="139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63"/>
      <c r="R10" s="139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5"/>
      <c r="R11" s="176"/>
    </row>
    <row r="12" spans="1:20" ht="26.25" customHeight="1" x14ac:dyDescent="0.3">
      <c r="A12" s="166">
        <f>Stammangaben!C12</f>
        <v>0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1"/>
      <c r="R12" s="13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v>1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78"/>
      <c r="R15" s="179"/>
    </row>
    <row r="16" spans="1:20" ht="26.25" customHeight="1" x14ac:dyDescent="0.3">
      <c r="A16" s="164">
        <f>A19+4</f>
        <v>11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63"/>
      <c r="R16" s="139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8"/>
      <c r="R17" s="179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8"/>
      <c r="R18" s="179"/>
    </row>
    <row r="19" spans="1:23" ht="26.25" customHeight="1" x14ac:dyDescent="0.3">
      <c r="A19" s="166">
        <f>A9+3</f>
        <v>7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8"/>
      <c r="R20" s="179"/>
    </row>
    <row r="21" spans="1:23" ht="26.25" customHeight="1" x14ac:dyDescent="0.3">
      <c r="A21" s="109">
        <f>IF(A14&lt;&gt;"",A14+1,"")</f>
        <v>2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18</v>
      </c>
      <c r="B23" s="107" t="s">
        <v>36</v>
      </c>
      <c r="C23" s="62"/>
      <c r="D23" s="63"/>
      <c r="E23" s="63"/>
      <c r="F23" s="64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62"/>
      <c r="D24" s="63"/>
      <c r="E24" s="63"/>
      <c r="F24" s="64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62"/>
      <c r="D25" s="63"/>
      <c r="E25" s="63"/>
      <c r="F25" s="64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1"/>
      <c r="R25" s="139"/>
      <c r="U25" s="113"/>
      <c r="V25" s="113"/>
      <c r="W25" s="113"/>
    </row>
    <row r="26" spans="1:23" ht="26.25" customHeight="1" x14ac:dyDescent="0.3">
      <c r="A26" s="166">
        <f>A16+3</f>
        <v>14</v>
      </c>
      <c r="B26" s="107" t="s">
        <v>40</v>
      </c>
      <c r="C26" s="62"/>
      <c r="D26" s="63"/>
      <c r="E26" s="63"/>
      <c r="F26" s="64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3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25</v>
      </c>
      <c r="B30" s="107" t="s">
        <v>36</v>
      </c>
      <c r="C30" s="62"/>
      <c r="D30" s="63"/>
      <c r="E30" s="63"/>
      <c r="F30" s="64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62"/>
      <c r="D31" s="63"/>
      <c r="E31" s="63"/>
      <c r="F31" s="64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62"/>
      <c r="D32" s="63"/>
      <c r="E32" s="63"/>
      <c r="F32" s="64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21</v>
      </c>
      <c r="B33" s="107" t="s">
        <v>40</v>
      </c>
      <c r="C33" s="62"/>
      <c r="D33" s="63"/>
      <c r="E33" s="63"/>
      <c r="F33" s="64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4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1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000"/>
  <sheetViews>
    <sheetView workbookViewId="0">
      <selection activeCell="F33" sqref="F33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01-04'!K36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01-04'!I35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32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01-04'!A30+3</f>
        <v>28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01-04'!A35+1</f>
        <v>5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39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35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6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71"/>
      <c r="R22" s="139"/>
      <c r="U22" s="113"/>
      <c r="V22" s="113"/>
      <c r="W22" s="113"/>
    </row>
    <row r="23" spans="1:23" ht="26.25" customHeight="1" x14ac:dyDescent="0.3">
      <c r="A23" s="164">
        <f>A26+4</f>
        <v>46</v>
      </c>
      <c r="B23" s="107" t="s">
        <v>36</v>
      </c>
      <c r="C23" s="62"/>
      <c r="D23" s="63"/>
      <c r="E23" s="63"/>
      <c r="F23" s="64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1"/>
      <c r="R23" s="139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62"/>
      <c r="D24" s="63"/>
      <c r="E24" s="63"/>
      <c r="F24" s="64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1"/>
      <c r="R24" s="139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62"/>
      <c r="D25" s="63"/>
      <c r="E25" s="63"/>
      <c r="F25" s="64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1"/>
      <c r="R25" s="139"/>
      <c r="U25" s="113"/>
      <c r="V25" s="113"/>
      <c r="W25" s="113"/>
    </row>
    <row r="26" spans="1:23" ht="26.25" customHeight="1" x14ac:dyDescent="0.3">
      <c r="A26" s="166">
        <f>A16+3</f>
        <v>42</v>
      </c>
      <c r="B26" s="107" t="s">
        <v>40</v>
      </c>
      <c r="C26" s="62"/>
      <c r="D26" s="63"/>
      <c r="E26" s="63"/>
      <c r="F26" s="64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1"/>
      <c r="R26" s="13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7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81"/>
      <c r="R28" s="18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53</v>
      </c>
      <c r="B30" s="107" t="s">
        <v>36</v>
      </c>
      <c r="C30" s="62"/>
      <c r="D30" s="63"/>
      <c r="E30" s="63"/>
      <c r="F30" s="64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62"/>
      <c r="D31" s="63"/>
      <c r="E31" s="63"/>
      <c r="F31" s="64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62"/>
      <c r="D32" s="63"/>
      <c r="E32" s="63"/>
      <c r="F32" s="64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49</v>
      </c>
      <c r="B33" s="107" t="s">
        <v>40</v>
      </c>
      <c r="C33" s="62"/>
      <c r="D33" s="63"/>
      <c r="E33" s="63"/>
      <c r="F33" s="64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8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2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05-08'!K36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05-08'!I35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60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05-08'!A30+3</f>
        <v>56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05-08'!A35+1</f>
        <v>9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67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63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10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78"/>
      <c r="R22" s="179"/>
      <c r="U22" s="113"/>
      <c r="V22" s="113"/>
      <c r="W22" s="113"/>
    </row>
    <row r="23" spans="1:23" ht="26.25" customHeight="1" x14ac:dyDescent="0.3">
      <c r="A23" s="164">
        <f>A26+4</f>
        <v>74</v>
      </c>
      <c r="B23" s="107" t="s">
        <v>36</v>
      </c>
      <c r="C23" s="62"/>
      <c r="D23" s="63"/>
      <c r="E23" s="63"/>
      <c r="F23" s="64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8"/>
      <c r="R23" s="179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62"/>
      <c r="D24" s="63"/>
      <c r="E24" s="63"/>
      <c r="F24" s="64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8"/>
      <c r="R24" s="179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62"/>
      <c r="D25" s="63"/>
      <c r="E25" s="63"/>
      <c r="F25" s="64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8"/>
      <c r="R25" s="179"/>
      <c r="U25" s="113"/>
      <c r="V25" s="113"/>
      <c r="W25" s="113"/>
    </row>
    <row r="26" spans="1:23" ht="26.25" customHeight="1" x14ac:dyDescent="0.3">
      <c r="A26" s="166">
        <f>A16+3</f>
        <v>70</v>
      </c>
      <c r="B26" s="107" t="s">
        <v>40</v>
      </c>
      <c r="C26" s="62"/>
      <c r="D26" s="63"/>
      <c r="E26" s="63"/>
      <c r="F26" s="64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11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81"/>
      <c r="R28" s="18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81</v>
      </c>
      <c r="B30" s="107" t="s">
        <v>36</v>
      </c>
      <c r="C30" s="62"/>
      <c r="D30" s="63"/>
      <c r="E30" s="63"/>
      <c r="F30" s="64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62"/>
      <c r="D31" s="63"/>
      <c r="E31" s="63"/>
      <c r="F31" s="64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62"/>
      <c r="D32" s="63"/>
      <c r="E32" s="63"/>
      <c r="F32" s="64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77</v>
      </c>
      <c r="B33" s="107" t="s">
        <v>40</v>
      </c>
      <c r="C33" s="62"/>
      <c r="D33" s="63"/>
      <c r="E33" s="63"/>
      <c r="F33" s="64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12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3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09-12'!K36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09-12'!I35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88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63"/>
      <c r="R9" s="139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63"/>
      <c r="R10" s="139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5"/>
      <c r="R11" s="176"/>
    </row>
    <row r="12" spans="1:20" ht="26.25" customHeight="1" x14ac:dyDescent="0.3">
      <c r="A12" s="166">
        <f>'KW 09-12'!A30+3</f>
        <v>84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1"/>
      <c r="R12" s="13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09-12'!A35+1</f>
        <v>13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95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63"/>
      <c r="R16" s="139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63"/>
      <c r="R17" s="139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5"/>
      <c r="R18" s="176"/>
    </row>
    <row r="19" spans="1:23" ht="26.25" customHeight="1" x14ac:dyDescent="0.3">
      <c r="A19" s="166">
        <f>A9+3</f>
        <v>91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1"/>
      <c r="R19" s="13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14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78"/>
      <c r="R22" s="179"/>
      <c r="U22" s="113"/>
      <c r="V22" s="113"/>
      <c r="W22" s="113"/>
    </row>
    <row r="23" spans="1:23" ht="26.25" customHeight="1" x14ac:dyDescent="0.3">
      <c r="A23" s="164">
        <f>A26+4</f>
        <v>102</v>
      </c>
      <c r="B23" s="107" t="s">
        <v>36</v>
      </c>
      <c r="C23" s="62"/>
      <c r="D23" s="63"/>
      <c r="E23" s="63"/>
      <c r="F23" s="64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8"/>
      <c r="R23" s="179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62"/>
      <c r="D24" s="63"/>
      <c r="E24" s="63"/>
      <c r="F24" s="64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8"/>
      <c r="R24" s="179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62"/>
      <c r="D25" s="63"/>
      <c r="E25" s="63"/>
      <c r="F25" s="64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8"/>
      <c r="R25" s="179"/>
      <c r="U25" s="113"/>
      <c r="V25" s="113"/>
      <c r="W25" s="113"/>
    </row>
    <row r="26" spans="1:23" ht="26.25" customHeight="1" x14ac:dyDescent="0.3">
      <c r="A26" s="166">
        <f>A16+3</f>
        <v>98</v>
      </c>
      <c r="B26" s="107" t="s">
        <v>40</v>
      </c>
      <c r="C26" s="62"/>
      <c r="D26" s="63"/>
      <c r="E26" s="63"/>
      <c r="F26" s="64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15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81"/>
      <c r="R28" s="18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109</v>
      </c>
      <c r="B30" s="107" t="s">
        <v>36</v>
      </c>
      <c r="C30" s="62"/>
      <c r="D30" s="63"/>
      <c r="E30" s="63"/>
      <c r="F30" s="64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62"/>
      <c r="D31" s="63"/>
      <c r="E31" s="63"/>
      <c r="F31" s="64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62"/>
      <c r="D32" s="63"/>
      <c r="E32" s="63"/>
      <c r="F32" s="64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105</v>
      </c>
      <c r="B33" s="107" t="s">
        <v>40</v>
      </c>
      <c r="C33" s="62"/>
      <c r="D33" s="63"/>
      <c r="E33" s="63"/>
      <c r="F33" s="64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16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4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00"/>
  <sheetViews>
    <sheetView topLeftCell="A18" workbookViewId="0">
      <selection activeCell="F31" sqref="F31:F33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13-16'!K36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13-16'!I35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116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13-16'!A30+3</f>
        <v>112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13-16'!A35+1</f>
        <v>17</v>
      </c>
      <c r="B14" s="96" t="s">
        <v>42</v>
      </c>
      <c r="C14" s="97">
        <f>SUM(C8:C13)</f>
        <v>0</v>
      </c>
      <c r="D14" s="98"/>
      <c r="E14" s="98"/>
      <c r="F14" s="99"/>
      <c r="G14" s="99">
        <f t="shared" ref="F14:G14" si="3">SUM(G8:G13)</f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123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119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18</v>
      </c>
      <c r="B21" s="110" t="s">
        <v>42</v>
      </c>
      <c r="C21" s="111">
        <f>SUM(C15:C20)</f>
        <v>0</v>
      </c>
      <c r="D21" s="112"/>
      <c r="E21" s="112"/>
      <c r="F21" s="99"/>
      <c r="G21" s="99">
        <f t="shared" ref="F21:G21" si="7">SUM(G15:G20)</f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78"/>
      <c r="R22" s="179"/>
      <c r="U22" s="113"/>
      <c r="V22" s="113"/>
      <c r="W22" s="113"/>
    </row>
    <row r="23" spans="1:23" ht="26.25" customHeight="1" x14ac:dyDescent="0.3">
      <c r="A23" s="164">
        <f>A26+4</f>
        <v>130</v>
      </c>
      <c r="B23" s="107" t="s">
        <v>36</v>
      </c>
      <c r="C23" s="62"/>
      <c r="D23" s="63"/>
      <c r="E23" s="63"/>
      <c r="F23" s="64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8"/>
      <c r="R23" s="179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62"/>
      <c r="D24" s="63"/>
      <c r="E24" s="63"/>
      <c r="F24" s="64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8"/>
      <c r="R24" s="179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62"/>
      <c r="D25" s="63"/>
      <c r="E25" s="63"/>
      <c r="F25" s="64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8"/>
      <c r="R25" s="179"/>
      <c r="U25" s="113"/>
      <c r="V25" s="113"/>
      <c r="W25" s="113"/>
    </row>
    <row r="26" spans="1:23" ht="26.25" customHeight="1" x14ac:dyDescent="0.3">
      <c r="A26" s="166">
        <f>A16+3</f>
        <v>126</v>
      </c>
      <c r="B26" s="107" t="s">
        <v>40</v>
      </c>
      <c r="C26" s="62"/>
      <c r="D26" s="63"/>
      <c r="E26" s="63"/>
      <c r="F26" s="64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19</v>
      </c>
      <c r="B28" s="110" t="s">
        <v>42</v>
      </c>
      <c r="C28" s="111">
        <f>SUM(C22:C27)</f>
        <v>0</v>
      </c>
      <c r="D28" s="112"/>
      <c r="E28" s="112"/>
      <c r="F28" s="99"/>
      <c r="G28" s="99">
        <f t="shared" ref="F28:G28" si="11">SUM(G22:G27)</f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81"/>
      <c r="R28" s="18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137</v>
      </c>
      <c r="B30" s="107" t="s">
        <v>36</v>
      </c>
      <c r="C30" s="62"/>
      <c r="D30" s="63"/>
      <c r="E30" s="63"/>
      <c r="F30" s="64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62"/>
      <c r="D31" s="63"/>
      <c r="E31" s="63"/>
      <c r="F31" s="64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62"/>
      <c r="D32" s="63"/>
      <c r="E32" s="63"/>
      <c r="F32" s="64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133</v>
      </c>
      <c r="B33" s="107" t="s">
        <v>40</v>
      </c>
      <c r="C33" s="62"/>
      <c r="D33" s="63"/>
      <c r="E33" s="63"/>
      <c r="F33" s="64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20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5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17-20'!K36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17-20'!I35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144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17-20'!A30+3</f>
        <v>140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17-20'!A35+1</f>
        <v>21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151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147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22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158</v>
      </c>
      <c r="B23" s="107" t="s">
        <v>36</v>
      </c>
      <c r="C23" s="62"/>
      <c r="D23" s="63"/>
      <c r="E23" s="63"/>
      <c r="F23" s="64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62"/>
      <c r="D24" s="63"/>
      <c r="E24" s="63"/>
      <c r="F24" s="64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62"/>
      <c r="D25" s="63"/>
      <c r="E25" s="63"/>
      <c r="F25" s="64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154</v>
      </c>
      <c r="B26" s="107" t="s">
        <v>40</v>
      </c>
      <c r="C26" s="62"/>
      <c r="D26" s="63"/>
      <c r="E26" s="63"/>
      <c r="F26" s="64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23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165</v>
      </c>
      <c r="B30" s="107" t="s">
        <v>36</v>
      </c>
      <c r="C30" s="62"/>
      <c r="D30" s="63"/>
      <c r="E30" s="63"/>
      <c r="F30" s="64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62"/>
      <c r="D31" s="63"/>
      <c r="E31" s="63"/>
      <c r="F31" s="64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62"/>
      <c r="D32" s="63"/>
      <c r="E32" s="63"/>
      <c r="F32" s="64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161</v>
      </c>
      <c r="B33" s="107" t="s">
        <v>40</v>
      </c>
      <c r="C33" s="62"/>
      <c r="D33" s="63"/>
      <c r="E33" s="63"/>
      <c r="F33" s="64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24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6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1000"/>
  <sheetViews>
    <sheetView workbookViewId="0"/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21-24'!K36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21-24'!I35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172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21-24'!A30+3</f>
        <v>168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21-24'!A35+1</f>
        <v>25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179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175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26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186</v>
      </c>
      <c r="B23" s="107" t="s">
        <v>36</v>
      </c>
      <c r="C23" s="62"/>
      <c r="D23" s="63"/>
      <c r="E23" s="63"/>
      <c r="F23" s="64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62"/>
      <c r="D24" s="63"/>
      <c r="E24" s="63"/>
      <c r="F24" s="64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62"/>
      <c r="D25" s="63"/>
      <c r="E25" s="63"/>
      <c r="F25" s="64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182</v>
      </c>
      <c r="B26" s="107" t="s">
        <v>40</v>
      </c>
      <c r="C26" s="62"/>
      <c r="D26" s="63"/>
      <c r="E26" s="63"/>
      <c r="F26" s="64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27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193</v>
      </c>
      <c r="B30" s="107" t="s">
        <v>36</v>
      </c>
      <c r="C30" s="62"/>
      <c r="D30" s="63"/>
      <c r="E30" s="63"/>
      <c r="F30" s="64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62"/>
      <c r="D31" s="63"/>
      <c r="E31" s="63"/>
      <c r="F31" s="64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62"/>
      <c r="D32" s="63"/>
      <c r="E32" s="63"/>
      <c r="F32" s="64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189</v>
      </c>
      <c r="B33" s="107" t="s">
        <v>40</v>
      </c>
      <c r="C33" s="62"/>
      <c r="D33" s="63"/>
      <c r="E33" s="63"/>
      <c r="F33" s="64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28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7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25-28'!K36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25-28'!I35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200</v>
      </c>
      <c r="B9" s="71" t="s">
        <v>36</v>
      </c>
      <c r="C9" s="62"/>
      <c r="D9" s="63"/>
      <c r="E9" s="63"/>
      <c r="F9" s="64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62"/>
      <c r="D10" s="63"/>
      <c r="E10" s="63"/>
      <c r="F10" s="64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62"/>
      <c r="D11" s="63"/>
      <c r="E11" s="63"/>
      <c r="F11" s="64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25-28'!A30+3</f>
        <v>196</v>
      </c>
      <c r="B12" s="71" t="s">
        <v>40</v>
      </c>
      <c r="C12" s="62"/>
      <c r="D12" s="63"/>
      <c r="E12" s="63"/>
      <c r="F12" s="64"/>
      <c r="G12" s="81">
        <f t="shared" si="0"/>
        <v>0</v>
      </c>
      <c r="H12" s="73"/>
      <c r="I12" s="74">
        <f t="shared" si="1"/>
        <v>0</v>
      </c>
      <c r="J12" s="82"/>
      <c r="K12" s="83"/>
      <c r="L12" s="75"/>
      <c r="M12" s="7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25-28'!A35+1</f>
        <v>29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207</v>
      </c>
      <c r="B16" s="107" t="s">
        <v>36</v>
      </c>
      <c r="C16" s="62"/>
      <c r="D16" s="63"/>
      <c r="E16" s="63"/>
      <c r="F16" s="64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62"/>
      <c r="D17" s="63"/>
      <c r="E17" s="63"/>
      <c r="F17" s="64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62"/>
      <c r="D18" s="63"/>
      <c r="E18" s="63"/>
      <c r="F18" s="64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203</v>
      </c>
      <c r="B19" s="107" t="s">
        <v>40</v>
      </c>
      <c r="C19" s="62"/>
      <c r="D19" s="63"/>
      <c r="E19" s="63"/>
      <c r="F19" s="64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30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214</v>
      </c>
      <c r="B23" s="107" t="s">
        <v>36</v>
      </c>
      <c r="C23" s="75"/>
      <c r="D23" s="135"/>
      <c r="E23" s="135"/>
      <c r="F23" s="77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75"/>
      <c r="D24" s="135"/>
      <c r="E24" s="135"/>
      <c r="F24" s="77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75"/>
      <c r="D25" s="135"/>
      <c r="E25" s="135"/>
      <c r="F25" s="77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210</v>
      </c>
      <c r="B26" s="107" t="s">
        <v>40</v>
      </c>
      <c r="C26" s="82"/>
      <c r="D26" s="136"/>
      <c r="E26" s="136"/>
      <c r="F26" s="137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31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221</v>
      </c>
      <c r="B30" s="107" t="s">
        <v>36</v>
      </c>
      <c r="C30" s="75"/>
      <c r="D30" s="135"/>
      <c r="E30" s="135"/>
      <c r="F30" s="77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75"/>
      <c r="D31" s="135"/>
      <c r="E31" s="135"/>
      <c r="F31" s="77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75"/>
      <c r="D32" s="135"/>
      <c r="E32" s="135"/>
      <c r="F32" s="77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217</v>
      </c>
      <c r="B33" s="107" t="s">
        <v>40</v>
      </c>
      <c r="C33" s="82"/>
      <c r="D33" s="136"/>
      <c r="E33" s="136"/>
      <c r="F33" s="137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32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8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59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29-32'!K36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29-32'!I35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228</v>
      </c>
      <c r="B9" s="71" t="s">
        <v>36</v>
      </c>
      <c r="C9" s="75"/>
      <c r="D9" s="135"/>
      <c r="E9" s="135"/>
      <c r="F9" s="77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75"/>
      <c r="D10" s="135"/>
      <c r="E10" s="135"/>
      <c r="F10" s="77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75"/>
      <c r="D11" s="135"/>
      <c r="E11" s="135"/>
      <c r="F11" s="77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29-32'!A30+3</f>
        <v>224</v>
      </c>
      <c r="B12" s="71" t="s">
        <v>40</v>
      </c>
      <c r="C12" s="82"/>
      <c r="D12" s="136"/>
      <c r="E12" s="136"/>
      <c r="F12" s="137"/>
      <c r="G12" s="81">
        <f t="shared" si="0"/>
        <v>0</v>
      </c>
      <c r="H12" s="73"/>
      <c r="I12" s="74">
        <f t="shared" si="1"/>
        <v>0</v>
      </c>
      <c r="J12" s="82"/>
      <c r="K12" s="83"/>
      <c r="L12" s="82"/>
      <c r="M12" s="13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29-32'!A35+1</f>
        <v>33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235</v>
      </c>
      <c r="B16" s="107" t="s">
        <v>36</v>
      </c>
      <c r="C16" s="75"/>
      <c r="D16" s="135"/>
      <c r="E16" s="135"/>
      <c r="F16" s="77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75"/>
      <c r="D17" s="135"/>
      <c r="E17" s="135"/>
      <c r="F17" s="77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75"/>
      <c r="D18" s="135"/>
      <c r="E18" s="135"/>
      <c r="F18" s="77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231</v>
      </c>
      <c r="B19" s="107" t="s">
        <v>40</v>
      </c>
      <c r="C19" s="82"/>
      <c r="D19" s="136"/>
      <c r="E19" s="136"/>
      <c r="F19" s="137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34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242</v>
      </c>
      <c r="B23" s="107" t="s">
        <v>36</v>
      </c>
      <c r="C23" s="75"/>
      <c r="D23" s="135"/>
      <c r="E23" s="135"/>
      <c r="F23" s="77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75"/>
      <c r="D24" s="135"/>
      <c r="E24" s="135"/>
      <c r="F24" s="77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75"/>
      <c r="D25" s="135"/>
      <c r="E25" s="135"/>
      <c r="F25" s="77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238</v>
      </c>
      <c r="B26" s="107" t="s">
        <v>40</v>
      </c>
      <c r="C26" s="82"/>
      <c r="D26" s="136"/>
      <c r="E26" s="136"/>
      <c r="F26" s="137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35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249</v>
      </c>
      <c r="B30" s="107" t="s">
        <v>36</v>
      </c>
      <c r="C30" s="75"/>
      <c r="D30" s="135"/>
      <c r="E30" s="135"/>
      <c r="F30" s="77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75"/>
      <c r="D31" s="135"/>
      <c r="E31" s="135"/>
      <c r="F31" s="77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75"/>
      <c r="D32" s="135"/>
      <c r="E32" s="135"/>
      <c r="F32" s="77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245</v>
      </c>
      <c r="B33" s="107" t="s">
        <v>40</v>
      </c>
      <c r="C33" s="82"/>
      <c r="D33" s="136"/>
      <c r="E33" s="136"/>
      <c r="F33" s="137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36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9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60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33-36'!K36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33-36'!I35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256</v>
      </c>
      <c r="B9" s="71" t="s">
        <v>36</v>
      </c>
      <c r="C9" s="75"/>
      <c r="D9" s="135"/>
      <c r="E9" s="135"/>
      <c r="F9" s="77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75"/>
      <c r="D10" s="135"/>
      <c r="E10" s="135"/>
      <c r="F10" s="77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75"/>
      <c r="D11" s="135"/>
      <c r="E11" s="135"/>
      <c r="F11" s="77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33-36'!A30+3</f>
        <v>252</v>
      </c>
      <c r="B12" s="71" t="s">
        <v>40</v>
      </c>
      <c r="C12" s="82"/>
      <c r="D12" s="136"/>
      <c r="E12" s="136"/>
      <c r="F12" s="137"/>
      <c r="G12" s="81">
        <f t="shared" si="0"/>
        <v>0</v>
      </c>
      <c r="H12" s="73"/>
      <c r="I12" s="74">
        <f t="shared" si="1"/>
        <v>0</v>
      </c>
      <c r="J12" s="82"/>
      <c r="K12" s="83"/>
      <c r="L12" s="82"/>
      <c r="M12" s="13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33-36'!A35+1</f>
        <v>37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263</v>
      </c>
      <c r="B16" s="107" t="s">
        <v>36</v>
      </c>
      <c r="C16" s="75"/>
      <c r="D16" s="135"/>
      <c r="E16" s="135"/>
      <c r="F16" s="77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75"/>
      <c r="D17" s="135"/>
      <c r="E17" s="135"/>
      <c r="F17" s="77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75"/>
      <c r="D18" s="135"/>
      <c r="E18" s="135"/>
      <c r="F18" s="77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259</v>
      </c>
      <c r="B19" s="107" t="s">
        <v>40</v>
      </c>
      <c r="C19" s="82"/>
      <c r="D19" s="136"/>
      <c r="E19" s="136"/>
      <c r="F19" s="137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38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270</v>
      </c>
      <c r="B23" s="107" t="s">
        <v>36</v>
      </c>
      <c r="C23" s="75"/>
      <c r="D23" s="135"/>
      <c r="E23" s="135"/>
      <c r="F23" s="77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75"/>
      <c r="D24" s="135"/>
      <c r="E24" s="135"/>
      <c r="F24" s="77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75"/>
      <c r="D25" s="135"/>
      <c r="E25" s="135"/>
      <c r="F25" s="77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266</v>
      </c>
      <c r="B26" s="107" t="s">
        <v>40</v>
      </c>
      <c r="C26" s="82"/>
      <c r="D26" s="136"/>
      <c r="E26" s="136"/>
      <c r="F26" s="137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39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277</v>
      </c>
      <c r="B30" s="107" t="s">
        <v>36</v>
      </c>
      <c r="C30" s="75"/>
      <c r="D30" s="135"/>
      <c r="E30" s="135"/>
      <c r="F30" s="77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75"/>
      <c r="D31" s="135"/>
      <c r="E31" s="135"/>
      <c r="F31" s="77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75"/>
      <c r="D32" s="135"/>
      <c r="E32" s="135"/>
      <c r="F32" s="77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273</v>
      </c>
      <c r="B33" s="107" t="s">
        <v>40</v>
      </c>
      <c r="C33" s="82"/>
      <c r="D33" s="136"/>
      <c r="E33" s="136"/>
      <c r="F33" s="137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40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A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61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37-40'!K36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37-40'!I35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284</v>
      </c>
      <c r="B9" s="71" t="s">
        <v>36</v>
      </c>
      <c r="C9" s="75"/>
      <c r="D9" s="135"/>
      <c r="E9" s="135"/>
      <c r="F9" s="77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75"/>
      <c r="D10" s="135"/>
      <c r="E10" s="135"/>
      <c r="F10" s="77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75"/>
      <c r="D11" s="135"/>
      <c r="E11" s="135"/>
      <c r="F11" s="77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37-40'!A30+3</f>
        <v>280</v>
      </c>
      <c r="B12" s="71" t="s">
        <v>40</v>
      </c>
      <c r="C12" s="82"/>
      <c r="D12" s="136"/>
      <c r="E12" s="136"/>
      <c r="F12" s="137"/>
      <c r="G12" s="81">
        <f t="shared" si="0"/>
        <v>0</v>
      </c>
      <c r="H12" s="73"/>
      <c r="I12" s="74">
        <f t="shared" si="1"/>
        <v>0</v>
      </c>
      <c r="J12" s="82"/>
      <c r="K12" s="83"/>
      <c r="L12" s="82"/>
      <c r="M12" s="13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37-40'!A35+1</f>
        <v>41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291</v>
      </c>
      <c r="B16" s="107" t="s">
        <v>36</v>
      </c>
      <c r="C16" s="75"/>
      <c r="D16" s="135"/>
      <c r="E16" s="135"/>
      <c r="F16" s="77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75"/>
      <c r="D17" s="135"/>
      <c r="E17" s="135"/>
      <c r="F17" s="77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75"/>
      <c r="D18" s="135"/>
      <c r="E18" s="135"/>
      <c r="F18" s="77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287</v>
      </c>
      <c r="B19" s="107" t="s">
        <v>40</v>
      </c>
      <c r="C19" s="82"/>
      <c r="D19" s="136"/>
      <c r="E19" s="136"/>
      <c r="F19" s="137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42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298</v>
      </c>
      <c r="B23" s="107" t="s">
        <v>36</v>
      </c>
      <c r="C23" s="75"/>
      <c r="D23" s="135"/>
      <c r="E23" s="135"/>
      <c r="F23" s="77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75"/>
      <c r="D24" s="135"/>
      <c r="E24" s="135"/>
      <c r="F24" s="77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75"/>
      <c r="D25" s="135"/>
      <c r="E25" s="135"/>
      <c r="F25" s="77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294</v>
      </c>
      <c r="B26" s="107" t="s">
        <v>40</v>
      </c>
      <c r="C26" s="82"/>
      <c r="D26" s="136"/>
      <c r="E26" s="136"/>
      <c r="F26" s="137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43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305</v>
      </c>
      <c r="B30" s="107" t="s">
        <v>36</v>
      </c>
      <c r="C30" s="75"/>
      <c r="D30" s="135"/>
      <c r="E30" s="135"/>
      <c r="F30" s="77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75"/>
      <c r="D31" s="135"/>
      <c r="E31" s="135"/>
      <c r="F31" s="77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75"/>
      <c r="D32" s="135"/>
      <c r="E32" s="135"/>
      <c r="F32" s="77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301</v>
      </c>
      <c r="B33" s="107" t="s">
        <v>40</v>
      </c>
      <c r="C33" s="82"/>
      <c r="D33" s="136"/>
      <c r="E33" s="136"/>
      <c r="F33" s="137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44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B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W1000"/>
  <sheetViews>
    <sheetView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62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41-44'!K36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41-44'!I35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/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312</v>
      </c>
      <c r="B9" s="71" t="s">
        <v>36</v>
      </c>
      <c r="C9" s="75"/>
      <c r="D9" s="135"/>
      <c r="E9" s="135"/>
      <c r="F9" s="77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75"/>
      <c r="D10" s="135"/>
      <c r="E10" s="135"/>
      <c r="F10" s="77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75"/>
      <c r="D11" s="135"/>
      <c r="E11" s="135"/>
      <c r="F11" s="77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41-44'!A30+3</f>
        <v>308</v>
      </c>
      <c r="B12" s="71" t="s">
        <v>40</v>
      </c>
      <c r="C12" s="82"/>
      <c r="D12" s="136"/>
      <c r="E12" s="136"/>
      <c r="F12" s="137"/>
      <c r="G12" s="81">
        <f t="shared" si="0"/>
        <v>0</v>
      </c>
      <c r="H12" s="73"/>
      <c r="I12" s="74">
        <f t="shared" si="1"/>
        <v>0</v>
      </c>
      <c r="J12" s="82"/>
      <c r="K12" s="83"/>
      <c r="L12" s="82"/>
      <c r="M12" s="13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41-44'!A35+1</f>
        <v>45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319</v>
      </c>
      <c r="B16" s="107" t="s">
        <v>36</v>
      </c>
      <c r="C16" s="75"/>
      <c r="D16" s="135"/>
      <c r="E16" s="135"/>
      <c r="F16" s="77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75"/>
      <c r="D17" s="135"/>
      <c r="E17" s="135"/>
      <c r="F17" s="77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75"/>
      <c r="D18" s="135"/>
      <c r="E18" s="135"/>
      <c r="F18" s="77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315</v>
      </c>
      <c r="B19" s="107" t="s">
        <v>40</v>
      </c>
      <c r="C19" s="82"/>
      <c r="D19" s="136"/>
      <c r="E19" s="136"/>
      <c r="F19" s="137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46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326</v>
      </c>
      <c r="B23" s="107" t="s">
        <v>36</v>
      </c>
      <c r="C23" s="75"/>
      <c r="D23" s="135"/>
      <c r="E23" s="135"/>
      <c r="F23" s="77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75"/>
      <c r="D24" s="135"/>
      <c r="E24" s="135"/>
      <c r="F24" s="77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75"/>
      <c r="D25" s="135"/>
      <c r="E25" s="135"/>
      <c r="F25" s="77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322</v>
      </c>
      <c r="B26" s="107" t="s">
        <v>40</v>
      </c>
      <c r="C26" s="82"/>
      <c r="D26" s="136"/>
      <c r="E26" s="136"/>
      <c r="F26" s="137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47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333</v>
      </c>
      <c r="B30" s="107" t="s">
        <v>36</v>
      </c>
      <c r="C30" s="75"/>
      <c r="D30" s="135"/>
      <c r="E30" s="135"/>
      <c r="F30" s="77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75"/>
      <c r="D31" s="135"/>
      <c r="E31" s="135"/>
      <c r="F31" s="77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75"/>
      <c r="D32" s="135"/>
      <c r="E32" s="135"/>
      <c r="F32" s="77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329</v>
      </c>
      <c r="B33" s="107" t="s">
        <v>40</v>
      </c>
      <c r="C33" s="82"/>
      <c r="D33" s="136"/>
      <c r="E33" s="136"/>
      <c r="F33" s="137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48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C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1000"/>
  <sheetViews>
    <sheetView tabSelected="1" workbookViewId="0">
      <selection sqref="A1:R1"/>
    </sheetView>
  </sheetViews>
  <sheetFormatPr baseColWidth="10" defaultColWidth="14.44140625" defaultRowHeight="15" customHeight="1" x14ac:dyDescent="0.3"/>
  <cols>
    <col min="1" max="1" width="5.88671875" customWidth="1"/>
    <col min="2" max="2" width="6.5546875" customWidth="1"/>
    <col min="3" max="3" width="6.44140625" customWidth="1"/>
    <col min="4" max="4" width="5.44140625" customWidth="1"/>
    <col min="5" max="5" width="5.5546875" customWidth="1"/>
    <col min="6" max="6" width="7.44140625" customWidth="1"/>
    <col min="7" max="7" width="6.5546875" customWidth="1"/>
    <col min="8" max="8" width="4" customWidth="1"/>
    <col min="9" max="10" width="7.109375" customWidth="1"/>
    <col min="11" max="11" width="8.109375" customWidth="1"/>
    <col min="12" max="13" width="6.44140625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5546875" customWidth="1"/>
    <col min="19" max="26" width="10.6640625" customWidth="1"/>
  </cols>
  <sheetData>
    <row r="1" spans="1:20" ht="40.5" customHeight="1" x14ac:dyDescent="0.3">
      <c r="A1" s="167" t="s">
        <v>63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 spans="1:20" ht="27.75" customHeight="1" x14ac:dyDescent="0.4">
      <c r="A2" s="168" t="s">
        <v>14</v>
      </c>
      <c r="B2" s="145"/>
      <c r="C2" s="169">
        <f>Stammangaben!$B$3</f>
        <v>0</v>
      </c>
      <c r="D2" s="170"/>
      <c r="E2" s="170"/>
      <c r="F2" s="170"/>
      <c r="G2" s="170"/>
      <c r="H2" s="170"/>
      <c r="I2" s="170"/>
      <c r="J2" s="170"/>
      <c r="K2" s="170"/>
      <c r="L2" s="170"/>
      <c r="M2" s="162"/>
      <c r="N2" s="27" t="s">
        <v>15</v>
      </c>
      <c r="O2" s="169">
        <f>Stammangaben!B4</f>
        <v>0</v>
      </c>
      <c r="P2" s="170"/>
      <c r="Q2" s="170"/>
      <c r="R2" s="174"/>
    </row>
    <row r="3" spans="1:20" ht="28.5" customHeight="1" x14ac:dyDescent="0.3">
      <c r="A3" s="28">
        <f>IF(NOT(Stammangaben!C7=""),Stammangaben!C7,Stammangaben!C6)</f>
        <v>0</v>
      </c>
      <c r="B3" s="29" t="s">
        <v>16</v>
      </c>
      <c r="C3" s="171" t="s">
        <v>17</v>
      </c>
      <c r="D3" s="154"/>
      <c r="E3" s="154"/>
      <c r="F3" s="154"/>
      <c r="G3" s="154"/>
      <c r="H3" s="154"/>
      <c r="I3" s="139"/>
      <c r="J3" s="30"/>
      <c r="K3" s="31"/>
      <c r="L3" s="159" t="s">
        <v>18</v>
      </c>
      <c r="M3" s="154"/>
      <c r="N3" s="154"/>
      <c r="O3" s="32"/>
      <c r="P3" s="33"/>
      <c r="Q3" s="32"/>
      <c r="R3" s="33"/>
    </row>
    <row r="4" spans="1:20" ht="26.25" customHeight="1" x14ac:dyDescent="0.3">
      <c r="A4" s="34"/>
      <c r="B4" s="35"/>
      <c r="C4" s="172" t="s">
        <v>19</v>
      </c>
      <c r="D4" s="173"/>
      <c r="E4" s="173"/>
      <c r="F4" s="173"/>
      <c r="G4" s="173"/>
      <c r="H4" s="36"/>
      <c r="I4" s="133">
        <f>'KW 45-48'!K36</f>
        <v>0</v>
      </c>
      <c r="J4" s="38"/>
      <c r="K4" s="39"/>
      <c r="L4" s="2"/>
      <c r="N4" s="40"/>
      <c r="O4" s="41"/>
      <c r="P4" s="42"/>
      <c r="Q4" s="41"/>
      <c r="R4" s="43"/>
    </row>
    <row r="5" spans="1:20" ht="26.25" customHeight="1" x14ac:dyDescent="0.3">
      <c r="A5" s="34"/>
      <c r="B5" s="35"/>
      <c r="C5" s="172" t="s">
        <v>20</v>
      </c>
      <c r="D5" s="173"/>
      <c r="E5" s="173"/>
      <c r="F5" s="173"/>
      <c r="G5" s="173"/>
      <c r="H5" s="44"/>
      <c r="I5" s="134">
        <f>'KW 45-48'!I35</f>
        <v>0</v>
      </c>
      <c r="J5" s="45"/>
      <c r="K5" s="46"/>
      <c r="L5" s="160"/>
      <c r="M5" s="147"/>
      <c r="N5" s="147"/>
      <c r="O5" s="41"/>
      <c r="P5" s="43"/>
      <c r="Q5" s="41"/>
      <c r="R5" s="43"/>
    </row>
    <row r="6" spans="1:20" ht="18" hidden="1" customHeight="1" x14ac:dyDescent="0.3">
      <c r="A6" s="47"/>
      <c r="B6" s="46"/>
      <c r="H6" s="48"/>
      <c r="K6" s="49">
        <f>IF(LEFT(I4,1)="-",RIGHT(I4,LEN(I4)-1),I4)</f>
        <v>0</v>
      </c>
      <c r="L6" s="49">
        <f>IF(LEFT(K14,1)="-",RIGHT(K14,LEN(K14)-1),K14)</f>
        <v>0</v>
      </c>
      <c r="M6" s="49">
        <f>IF(LEFT(K21,1)="-",RIGHT(K21,LEN(K21)-1),K21)</f>
        <v>0</v>
      </c>
      <c r="N6" s="49">
        <f>IF(LEFT(K28,1)="-",RIGHT(K28,LEN(K28)-1),K28)</f>
        <v>0</v>
      </c>
      <c r="O6" s="2"/>
      <c r="P6" s="50"/>
      <c r="Q6" s="51"/>
      <c r="R6" s="43"/>
    </row>
    <row r="7" spans="1:20" ht="46.5" customHeight="1" x14ac:dyDescent="0.3">
      <c r="A7" s="52" t="s">
        <v>21</v>
      </c>
      <c r="B7" s="53"/>
      <c r="C7" s="54" t="s">
        <v>22</v>
      </c>
      <c r="D7" s="54" t="s">
        <v>23</v>
      </c>
      <c r="E7" s="54" t="s">
        <v>24</v>
      </c>
      <c r="F7" s="54" t="s">
        <v>25</v>
      </c>
      <c r="G7" s="52" t="s">
        <v>26</v>
      </c>
      <c r="H7" s="55" t="s">
        <v>27</v>
      </c>
      <c r="I7" s="53" t="s">
        <v>28</v>
      </c>
      <c r="J7" s="56" t="s">
        <v>29</v>
      </c>
      <c r="K7" s="57" t="s">
        <v>30</v>
      </c>
      <c r="L7" s="54" t="s">
        <v>22</v>
      </c>
      <c r="M7" s="52" t="s">
        <v>26</v>
      </c>
      <c r="N7" s="56" t="s">
        <v>31</v>
      </c>
      <c r="O7" s="52" t="s">
        <v>32</v>
      </c>
      <c r="P7" s="58" t="s">
        <v>33</v>
      </c>
      <c r="Q7" s="161" t="s">
        <v>34</v>
      </c>
      <c r="R7" s="162"/>
      <c r="S7" s="59"/>
      <c r="T7" s="9"/>
    </row>
    <row r="8" spans="1:20" ht="26.25" customHeight="1" x14ac:dyDescent="0.3">
      <c r="A8" s="60"/>
      <c r="B8" s="61" t="s">
        <v>35</v>
      </c>
      <c r="C8" s="62"/>
      <c r="D8" s="63"/>
      <c r="E8" s="63"/>
      <c r="F8" s="64"/>
      <c r="G8" s="65">
        <f t="shared" ref="G8:G13" si="0">IF(OR(ISBLANK(D8),ISBLANK(E8)),0,E8-D8-F8)</f>
        <v>0</v>
      </c>
      <c r="H8" s="66" t="s">
        <v>45</v>
      </c>
      <c r="I8" s="67">
        <f t="shared" ref="I8:I13" si="1">IF((G8-C8)&lt;0,TEXT(C8-G8,"-[h]:mm"),G8-C8)</f>
        <v>0</v>
      </c>
      <c r="J8" s="62"/>
      <c r="K8" s="68"/>
      <c r="L8" s="62"/>
      <c r="M8" s="64"/>
      <c r="N8" s="67">
        <f t="shared" ref="N8:N35" si="2">IF((M8-L8)&lt;0,TEXT(L8-M8,"-[h]:mm"),M8-L8)</f>
        <v>0</v>
      </c>
      <c r="O8" s="69"/>
      <c r="P8" s="70"/>
      <c r="Q8" s="163"/>
      <c r="R8" s="139"/>
    </row>
    <row r="9" spans="1:20" ht="26.25" customHeight="1" x14ac:dyDescent="0.3">
      <c r="A9" s="164">
        <f>A12+4</f>
        <v>340</v>
      </c>
      <c r="B9" s="71" t="s">
        <v>36</v>
      </c>
      <c r="C9" s="75"/>
      <c r="D9" s="135"/>
      <c r="E9" s="135"/>
      <c r="F9" s="77"/>
      <c r="G9" s="72">
        <f t="shared" si="0"/>
        <v>0</v>
      </c>
      <c r="H9" s="73"/>
      <c r="I9" s="74">
        <f t="shared" si="1"/>
        <v>0</v>
      </c>
      <c r="J9" s="75"/>
      <c r="K9" s="76"/>
      <c r="L9" s="75"/>
      <c r="M9" s="77"/>
      <c r="N9" s="74">
        <f t="shared" si="2"/>
        <v>0</v>
      </c>
      <c r="O9" s="78"/>
      <c r="P9" s="79"/>
      <c r="Q9" s="177"/>
      <c r="R9" s="141"/>
    </row>
    <row r="10" spans="1:20" ht="26.25" customHeight="1" x14ac:dyDescent="0.3">
      <c r="A10" s="165"/>
      <c r="B10" s="71" t="s">
        <v>37</v>
      </c>
      <c r="C10" s="75"/>
      <c r="D10" s="135"/>
      <c r="E10" s="135"/>
      <c r="F10" s="77"/>
      <c r="G10" s="72">
        <f t="shared" si="0"/>
        <v>0</v>
      </c>
      <c r="H10" s="73"/>
      <c r="I10" s="74">
        <f t="shared" si="1"/>
        <v>0</v>
      </c>
      <c r="J10" s="75"/>
      <c r="K10" s="76"/>
      <c r="L10" s="75"/>
      <c r="M10" s="77"/>
      <c r="N10" s="74">
        <f t="shared" si="2"/>
        <v>0</v>
      </c>
      <c r="O10" s="78"/>
      <c r="P10" s="79"/>
      <c r="Q10" s="177"/>
      <c r="R10" s="141"/>
    </row>
    <row r="11" spans="1:20" ht="26.25" customHeight="1" x14ac:dyDescent="0.3">
      <c r="A11" s="80" t="s">
        <v>38</v>
      </c>
      <c r="B11" s="71" t="s">
        <v>39</v>
      </c>
      <c r="C11" s="75"/>
      <c r="D11" s="135"/>
      <c r="E11" s="135"/>
      <c r="F11" s="77"/>
      <c r="G11" s="72">
        <f t="shared" si="0"/>
        <v>0</v>
      </c>
      <c r="H11" s="73"/>
      <c r="I11" s="74">
        <f t="shared" si="1"/>
        <v>0</v>
      </c>
      <c r="J11" s="75"/>
      <c r="K11" s="76"/>
      <c r="L11" s="75"/>
      <c r="M11" s="77"/>
      <c r="N11" s="74">
        <f t="shared" si="2"/>
        <v>0</v>
      </c>
      <c r="O11" s="78"/>
      <c r="P11" s="79"/>
      <c r="Q11" s="177"/>
      <c r="R11" s="141"/>
    </row>
    <row r="12" spans="1:20" ht="26.25" customHeight="1" x14ac:dyDescent="0.3">
      <c r="A12" s="166">
        <f>'KW 45-48'!A30+3</f>
        <v>336</v>
      </c>
      <c r="B12" s="71" t="s">
        <v>40</v>
      </c>
      <c r="C12" s="82"/>
      <c r="D12" s="136"/>
      <c r="E12" s="136"/>
      <c r="F12" s="137"/>
      <c r="G12" s="81">
        <f t="shared" si="0"/>
        <v>0</v>
      </c>
      <c r="H12" s="73"/>
      <c r="I12" s="74">
        <f t="shared" si="1"/>
        <v>0</v>
      </c>
      <c r="J12" s="82"/>
      <c r="K12" s="83"/>
      <c r="L12" s="82"/>
      <c r="M12" s="137"/>
      <c r="N12" s="84">
        <f t="shared" si="2"/>
        <v>0</v>
      </c>
      <c r="O12" s="85"/>
      <c r="P12" s="86"/>
      <c r="Q12" s="178"/>
      <c r="R12" s="179"/>
    </row>
    <row r="13" spans="1:20" ht="26.25" customHeight="1" x14ac:dyDescent="0.3">
      <c r="A13" s="165"/>
      <c r="B13" s="87" t="s">
        <v>41</v>
      </c>
      <c r="C13" s="88"/>
      <c r="D13" s="89"/>
      <c r="E13" s="89"/>
      <c r="F13" s="90"/>
      <c r="G13" s="91">
        <f t="shared" si="0"/>
        <v>0</v>
      </c>
      <c r="H13" s="92"/>
      <c r="I13" s="84">
        <f t="shared" si="1"/>
        <v>0</v>
      </c>
      <c r="J13" s="88"/>
      <c r="K13" s="93"/>
      <c r="L13" s="88"/>
      <c r="M13" s="90"/>
      <c r="N13" s="94">
        <f t="shared" si="2"/>
        <v>0</v>
      </c>
      <c r="O13" s="78"/>
      <c r="P13" s="79"/>
      <c r="Q13" s="177"/>
      <c r="R13" s="141"/>
    </row>
    <row r="14" spans="1:20" ht="26.25" customHeight="1" x14ac:dyDescent="0.3">
      <c r="A14" s="95">
        <f>'KW 45-48'!A35+1</f>
        <v>49</v>
      </c>
      <c r="B14" s="96" t="s">
        <v>42</v>
      </c>
      <c r="C14" s="97">
        <f>SUM(C8:C13)</f>
        <v>0</v>
      </c>
      <c r="D14" s="98"/>
      <c r="E14" s="98"/>
      <c r="F14" s="99">
        <f t="shared" ref="F14:G14" si="3">SUM(F8:F13)</f>
        <v>0</v>
      </c>
      <c r="G14" s="99">
        <f t="shared" si="3"/>
        <v>0</v>
      </c>
      <c r="H14" s="100"/>
      <c r="I14" s="101">
        <f>IF((G14-C14+J14)&lt;0,TEXT(C14-G14-J14,"-[h]:mm"),G14-C14+J14)</f>
        <v>0</v>
      </c>
      <c r="J14" s="102">
        <f>SUM(J8:J13)</f>
        <v>0</v>
      </c>
      <c r="K14" s="103">
        <f>IF(LEFT(I4,1)="-",IF((G14-C14+J14-K6)&lt;0,TEXT(C14-G14-J14+K6,"-[hh]:mm"),G14-C14+J14-K6),IF((G14-C14+J14+K6)&lt;0,TEXT(C14-G14+J14-K6,"-[hh]:mm"),G14-C14+J14+K6))</f>
        <v>0</v>
      </c>
      <c r="L14" s="102">
        <f t="shared" ref="L14:M14" si="4">SUM(L8:L13)</f>
        <v>0</v>
      </c>
      <c r="M14" s="104">
        <f t="shared" si="4"/>
        <v>0</v>
      </c>
      <c r="N14" s="101">
        <f t="shared" si="2"/>
        <v>0</v>
      </c>
      <c r="O14" s="105"/>
      <c r="P14" s="106"/>
      <c r="Q14" s="161"/>
      <c r="R14" s="162"/>
      <c r="T14" s="59"/>
    </row>
    <row r="15" spans="1:20" ht="26.25" customHeight="1" x14ac:dyDescent="0.3">
      <c r="A15" s="60"/>
      <c r="B15" s="61" t="s">
        <v>35</v>
      </c>
      <c r="C15" s="62"/>
      <c r="D15" s="63"/>
      <c r="E15" s="63"/>
      <c r="F15" s="64"/>
      <c r="G15" s="65">
        <f t="shared" ref="G15:G19" si="5">IF(OR(ISBLANK(D15),ISBLANK(E15)),0,E15-D15-F15)</f>
        <v>0</v>
      </c>
      <c r="H15" s="66"/>
      <c r="I15" s="67">
        <f t="shared" ref="I15:I20" si="6">IF((G15-C15)&lt;0,TEXT(C15-G15,"-[h]:mm"),G15-C15)</f>
        <v>0</v>
      </c>
      <c r="J15" s="62"/>
      <c r="K15" s="68"/>
      <c r="L15" s="62"/>
      <c r="M15" s="64"/>
      <c r="N15" s="67">
        <f t="shared" si="2"/>
        <v>0</v>
      </c>
      <c r="O15" s="69"/>
      <c r="P15" s="70"/>
      <c r="Q15" s="163"/>
      <c r="R15" s="139"/>
    </row>
    <row r="16" spans="1:20" ht="26.25" customHeight="1" x14ac:dyDescent="0.3">
      <c r="A16" s="164">
        <f>A19+4</f>
        <v>347</v>
      </c>
      <c r="B16" s="107" t="s">
        <v>36</v>
      </c>
      <c r="C16" s="75"/>
      <c r="D16" s="135"/>
      <c r="E16" s="135"/>
      <c r="F16" s="77"/>
      <c r="G16" s="72">
        <f t="shared" si="5"/>
        <v>0</v>
      </c>
      <c r="H16" s="73"/>
      <c r="I16" s="74">
        <f t="shared" si="6"/>
        <v>0</v>
      </c>
      <c r="J16" s="75"/>
      <c r="K16" s="76"/>
      <c r="L16" s="75"/>
      <c r="M16" s="77"/>
      <c r="N16" s="74">
        <f t="shared" si="2"/>
        <v>0</v>
      </c>
      <c r="O16" s="78"/>
      <c r="P16" s="79"/>
      <c r="Q16" s="177"/>
      <c r="R16" s="141"/>
    </row>
    <row r="17" spans="1:23" ht="26.25" customHeight="1" x14ac:dyDescent="0.3">
      <c r="A17" s="165"/>
      <c r="B17" s="107" t="s">
        <v>37</v>
      </c>
      <c r="C17" s="75"/>
      <c r="D17" s="135"/>
      <c r="E17" s="135"/>
      <c r="F17" s="77"/>
      <c r="G17" s="72">
        <f t="shared" si="5"/>
        <v>0</v>
      </c>
      <c r="H17" s="73"/>
      <c r="I17" s="74">
        <f t="shared" si="6"/>
        <v>0</v>
      </c>
      <c r="J17" s="75"/>
      <c r="K17" s="76"/>
      <c r="L17" s="75"/>
      <c r="M17" s="77"/>
      <c r="N17" s="74">
        <f t="shared" si="2"/>
        <v>0</v>
      </c>
      <c r="O17" s="78"/>
      <c r="P17" s="79"/>
      <c r="Q17" s="177"/>
      <c r="R17" s="141"/>
    </row>
    <row r="18" spans="1:23" ht="26.25" customHeight="1" x14ac:dyDescent="0.3">
      <c r="A18" s="80" t="s">
        <v>38</v>
      </c>
      <c r="B18" s="107" t="s">
        <v>39</v>
      </c>
      <c r="C18" s="75"/>
      <c r="D18" s="135"/>
      <c r="E18" s="135"/>
      <c r="F18" s="77"/>
      <c r="G18" s="72">
        <f t="shared" si="5"/>
        <v>0</v>
      </c>
      <c r="H18" s="73"/>
      <c r="I18" s="74">
        <f t="shared" si="6"/>
        <v>0</v>
      </c>
      <c r="J18" s="75"/>
      <c r="K18" s="76"/>
      <c r="L18" s="75"/>
      <c r="M18" s="77"/>
      <c r="N18" s="74">
        <f t="shared" si="2"/>
        <v>0</v>
      </c>
      <c r="O18" s="78"/>
      <c r="P18" s="79"/>
      <c r="Q18" s="177"/>
      <c r="R18" s="141"/>
    </row>
    <row r="19" spans="1:23" ht="26.25" customHeight="1" x14ac:dyDescent="0.3">
      <c r="A19" s="166">
        <f>A9+3</f>
        <v>343</v>
      </c>
      <c r="B19" s="107" t="s">
        <v>40</v>
      </c>
      <c r="C19" s="82"/>
      <c r="D19" s="136"/>
      <c r="E19" s="136"/>
      <c r="F19" s="137"/>
      <c r="G19" s="72">
        <f t="shared" si="5"/>
        <v>0</v>
      </c>
      <c r="H19" s="73"/>
      <c r="I19" s="74">
        <f t="shared" si="6"/>
        <v>0</v>
      </c>
      <c r="J19" s="75"/>
      <c r="K19" s="76"/>
      <c r="L19" s="75"/>
      <c r="M19" s="77"/>
      <c r="N19" s="74">
        <f t="shared" si="2"/>
        <v>0</v>
      </c>
      <c r="O19" s="78"/>
      <c r="P19" s="79"/>
      <c r="Q19" s="178"/>
      <c r="R19" s="179"/>
    </row>
    <row r="20" spans="1:23" ht="26.25" customHeight="1" x14ac:dyDescent="0.3">
      <c r="A20" s="165"/>
      <c r="B20" s="108" t="s">
        <v>41</v>
      </c>
      <c r="C20" s="88"/>
      <c r="D20" s="89"/>
      <c r="E20" s="89"/>
      <c r="F20" s="90"/>
      <c r="G20" s="91">
        <f>E20-D20-F20</f>
        <v>0</v>
      </c>
      <c r="H20" s="92"/>
      <c r="I20" s="94">
        <f t="shared" si="6"/>
        <v>0</v>
      </c>
      <c r="J20" s="88"/>
      <c r="K20" s="93"/>
      <c r="L20" s="88"/>
      <c r="M20" s="90"/>
      <c r="N20" s="94">
        <f t="shared" si="2"/>
        <v>0</v>
      </c>
      <c r="O20" s="78"/>
      <c r="P20" s="79"/>
      <c r="Q20" s="177"/>
      <c r="R20" s="141"/>
    </row>
    <row r="21" spans="1:23" ht="26.25" customHeight="1" x14ac:dyDescent="0.3">
      <c r="A21" s="109">
        <f>IF(A14&lt;&gt;"",A14+1,"")</f>
        <v>50</v>
      </c>
      <c r="B21" s="110" t="s">
        <v>42</v>
      </c>
      <c r="C21" s="111">
        <f>SUM(C15:C20)</f>
        <v>0</v>
      </c>
      <c r="D21" s="112"/>
      <c r="E21" s="112"/>
      <c r="F21" s="99">
        <f t="shared" ref="F21:G21" si="7">SUM(F15:F20)</f>
        <v>0</v>
      </c>
      <c r="G21" s="99">
        <f t="shared" si="7"/>
        <v>0</v>
      </c>
      <c r="H21" s="100"/>
      <c r="I21" s="101">
        <f>IF((G21-C21+J21)&lt;0,TEXT(C21-G21-J21,"-[h]:mm"),G21-C21+J21)</f>
        <v>0</v>
      </c>
      <c r="J21" s="102">
        <f>SUM(J15:J20)</f>
        <v>0</v>
      </c>
      <c r="K21" s="103">
        <f>IF(LEFT(K14,1)="-",IF((G21-C21+J21-L6)&lt;0,TEXT(C21-G21-J21+L6,"-[hh]:mm"),G21-C21+J21-L6),IF((G21-C21+J21+L6)&lt;0,TEXT(C21-G21+J21-L6,"-[hh]:mm"),G21-C21+J21+L6))</f>
        <v>0</v>
      </c>
      <c r="L21" s="102">
        <f t="shared" ref="L21:M21" si="8">SUM(L15:L20)</f>
        <v>0</v>
      </c>
      <c r="M21" s="99">
        <f t="shared" si="8"/>
        <v>0</v>
      </c>
      <c r="N21" s="101">
        <f t="shared" si="2"/>
        <v>0</v>
      </c>
      <c r="O21" s="105"/>
      <c r="P21" s="106"/>
      <c r="Q21" s="161"/>
      <c r="R21" s="162"/>
    </row>
    <row r="22" spans="1:23" ht="26.25" customHeight="1" x14ac:dyDescent="0.3">
      <c r="A22" s="60"/>
      <c r="B22" s="61" t="s">
        <v>35</v>
      </c>
      <c r="C22" s="62"/>
      <c r="D22" s="63"/>
      <c r="E22" s="63"/>
      <c r="F22" s="64"/>
      <c r="G22" s="65">
        <f t="shared" ref="G22:G27" si="9">IF(OR(ISBLANK(D22),ISBLANK(E22)),0,E22-D22-F22)</f>
        <v>0</v>
      </c>
      <c r="H22" s="66"/>
      <c r="I22" s="67">
        <f t="shared" ref="I22:I27" si="10">IF((G22-C22)&lt;0,TEXT(C22-G22,"-[h]:mm"),G22-C22)</f>
        <v>0</v>
      </c>
      <c r="J22" s="62"/>
      <c r="K22" s="68"/>
      <c r="L22" s="62"/>
      <c r="M22" s="64"/>
      <c r="N22" s="67">
        <f t="shared" si="2"/>
        <v>0</v>
      </c>
      <c r="O22" s="69"/>
      <c r="P22" s="70"/>
      <c r="Q22" s="163"/>
      <c r="R22" s="139"/>
      <c r="U22" s="113"/>
      <c r="V22" s="113"/>
      <c r="W22" s="113"/>
    </row>
    <row r="23" spans="1:23" ht="26.25" customHeight="1" x14ac:dyDescent="0.3">
      <c r="A23" s="164">
        <f>A26+4</f>
        <v>354</v>
      </c>
      <c r="B23" s="107" t="s">
        <v>36</v>
      </c>
      <c r="C23" s="75"/>
      <c r="D23" s="135"/>
      <c r="E23" s="135"/>
      <c r="F23" s="77"/>
      <c r="G23" s="72">
        <f t="shared" si="9"/>
        <v>0</v>
      </c>
      <c r="H23" s="73"/>
      <c r="I23" s="74">
        <f t="shared" si="10"/>
        <v>0</v>
      </c>
      <c r="J23" s="75"/>
      <c r="K23" s="76"/>
      <c r="L23" s="75"/>
      <c r="M23" s="77"/>
      <c r="N23" s="74">
        <f t="shared" si="2"/>
        <v>0</v>
      </c>
      <c r="O23" s="78"/>
      <c r="P23" s="79"/>
      <c r="Q23" s="177"/>
      <c r="R23" s="141"/>
      <c r="U23" s="113"/>
      <c r="V23" s="113"/>
      <c r="W23" s="113"/>
    </row>
    <row r="24" spans="1:23" ht="26.25" customHeight="1" x14ac:dyDescent="0.3">
      <c r="A24" s="165"/>
      <c r="B24" s="107" t="s">
        <v>37</v>
      </c>
      <c r="C24" s="75"/>
      <c r="D24" s="135"/>
      <c r="E24" s="135"/>
      <c r="F24" s="77"/>
      <c r="G24" s="72">
        <f t="shared" si="9"/>
        <v>0</v>
      </c>
      <c r="H24" s="73"/>
      <c r="I24" s="74">
        <f t="shared" si="10"/>
        <v>0</v>
      </c>
      <c r="J24" s="75"/>
      <c r="K24" s="76"/>
      <c r="L24" s="75"/>
      <c r="M24" s="77"/>
      <c r="N24" s="74">
        <f t="shared" si="2"/>
        <v>0</v>
      </c>
      <c r="O24" s="78"/>
      <c r="P24" s="79"/>
      <c r="Q24" s="177"/>
      <c r="R24" s="141"/>
      <c r="U24" s="113"/>
      <c r="V24" s="113"/>
      <c r="W24" s="113"/>
    </row>
    <row r="25" spans="1:23" ht="26.25" customHeight="1" x14ac:dyDescent="0.3">
      <c r="A25" s="80" t="s">
        <v>38</v>
      </c>
      <c r="B25" s="107" t="s">
        <v>39</v>
      </c>
      <c r="C25" s="75"/>
      <c r="D25" s="135"/>
      <c r="E25" s="135"/>
      <c r="F25" s="77"/>
      <c r="G25" s="72">
        <f t="shared" si="9"/>
        <v>0</v>
      </c>
      <c r="H25" s="73"/>
      <c r="I25" s="74">
        <f t="shared" si="10"/>
        <v>0</v>
      </c>
      <c r="J25" s="75"/>
      <c r="K25" s="76"/>
      <c r="L25" s="75"/>
      <c r="M25" s="77"/>
      <c r="N25" s="74">
        <f t="shared" si="2"/>
        <v>0</v>
      </c>
      <c r="O25" s="78"/>
      <c r="P25" s="79"/>
      <c r="Q25" s="177"/>
      <c r="R25" s="141"/>
      <c r="U25" s="113"/>
      <c r="V25" s="113"/>
      <c r="W25" s="113"/>
    </row>
    <row r="26" spans="1:23" ht="26.25" customHeight="1" x14ac:dyDescent="0.3">
      <c r="A26" s="166">
        <f>A16+3</f>
        <v>350</v>
      </c>
      <c r="B26" s="107" t="s">
        <v>40</v>
      </c>
      <c r="C26" s="82"/>
      <c r="D26" s="136"/>
      <c r="E26" s="136"/>
      <c r="F26" s="137"/>
      <c r="G26" s="72">
        <f t="shared" si="9"/>
        <v>0</v>
      </c>
      <c r="H26" s="73"/>
      <c r="I26" s="74">
        <f t="shared" si="10"/>
        <v>0</v>
      </c>
      <c r="J26" s="75"/>
      <c r="K26" s="76"/>
      <c r="L26" s="75"/>
      <c r="M26" s="77"/>
      <c r="N26" s="74">
        <f t="shared" si="2"/>
        <v>0</v>
      </c>
      <c r="O26" s="78"/>
      <c r="P26" s="79"/>
      <c r="Q26" s="178"/>
      <c r="R26" s="179"/>
    </row>
    <row r="27" spans="1:23" ht="26.25" customHeight="1" x14ac:dyDescent="0.3">
      <c r="A27" s="165"/>
      <c r="B27" s="108" t="s">
        <v>41</v>
      </c>
      <c r="C27" s="88"/>
      <c r="D27" s="89"/>
      <c r="E27" s="89"/>
      <c r="F27" s="90"/>
      <c r="G27" s="91">
        <f t="shared" si="9"/>
        <v>0</v>
      </c>
      <c r="H27" s="92"/>
      <c r="I27" s="94">
        <f t="shared" si="10"/>
        <v>0</v>
      </c>
      <c r="J27" s="88"/>
      <c r="K27" s="93"/>
      <c r="L27" s="88"/>
      <c r="M27" s="90"/>
      <c r="N27" s="94">
        <f t="shared" si="2"/>
        <v>0</v>
      </c>
      <c r="O27" s="78"/>
      <c r="P27" s="79"/>
      <c r="Q27" s="177"/>
      <c r="R27" s="141"/>
    </row>
    <row r="28" spans="1:23" ht="26.25" customHeight="1" x14ac:dyDescent="0.3">
      <c r="A28" s="109">
        <f>IF(A21&lt;&gt;"",A21+1,"")</f>
        <v>51</v>
      </c>
      <c r="B28" s="110" t="s">
        <v>42</v>
      </c>
      <c r="C28" s="111">
        <f>SUM(C22:C27)</f>
        <v>0</v>
      </c>
      <c r="D28" s="112"/>
      <c r="E28" s="112"/>
      <c r="F28" s="99">
        <f t="shared" ref="F28:G28" si="11">SUM(F22:F27)</f>
        <v>0</v>
      </c>
      <c r="G28" s="99">
        <f t="shared" si="11"/>
        <v>0</v>
      </c>
      <c r="H28" s="100"/>
      <c r="I28" s="101">
        <f>IF((G28-C28+J28)&lt;0,TEXT(C28-G28-J28,"-[h]:mm"),G28-C28+J28)</f>
        <v>0</v>
      </c>
      <c r="J28" s="102">
        <f>SUM(J22:J27)</f>
        <v>0</v>
      </c>
      <c r="K28" s="103">
        <f>IF(LEFT(K21,1)="-",IF((G28-C28+J28-M6)&lt;0,TEXT(C28-G28-J28+M6,"-[hh]:mm"),G28-C28+J28-M6),IF((G28-C28+J28+M6)&lt;0,TEXT(C28-G28+J28-M6,"-[hh]:mm"),G28-C28+J28+M6))</f>
        <v>0</v>
      </c>
      <c r="L28" s="102">
        <f t="shared" ref="L28:M28" si="12">SUM(L22:L27)</f>
        <v>0</v>
      </c>
      <c r="M28" s="99">
        <f t="shared" si="12"/>
        <v>0</v>
      </c>
      <c r="N28" s="114">
        <f t="shared" si="2"/>
        <v>0</v>
      </c>
      <c r="O28" s="105"/>
      <c r="P28" s="106"/>
      <c r="Q28" s="161"/>
      <c r="R28" s="162"/>
      <c r="S28" s="2"/>
    </row>
    <row r="29" spans="1:23" ht="26.25" customHeight="1" x14ac:dyDescent="0.3">
      <c r="A29" s="60"/>
      <c r="B29" s="61" t="s">
        <v>35</v>
      </c>
      <c r="C29" s="62"/>
      <c r="D29" s="63"/>
      <c r="E29" s="63"/>
      <c r="F29" s="64"/>
      <c r="G29" s="65">
        <f t="shared" ref="G29:G34" si="13">IF(OR(ISBLANK(D29),ISBLANK(E29)),0,E29-D29-F29)</f>
        <v>0</v>
      </c>
      <c r="H29" s="66"/>
      <c r="I29" s="67">
        <f t="shared" ref="I29:I32" si="14">IF((G29-C29)&lt;0,TEXT(C29-G29,"-[h]:mm"),G29-C29)</f>
        <v>0</v>
      </c>
      <c r="J29" s="62"/>
      <c r="K29" s="68"/>
      <c r="L29" s="62"/>
      <c r="M29" s="64"/>
      <c r="N29" s="67">
        <f t="shared" si="2"/>
        <v>0</v>
      </c>
      <c r="O29" s="69"/>
      <c r="P29" s="70"/>
      <c r="Q29" s="163"/>
      <c r="R29" s="139"/>
    </row>
    <row r="30" spans="1:23" ht="26.25" customHeight="1" x14ac:dyDescent="0.3">
      <c r="A30" s="164">
        <f>A33+4</f>
        <v>361</v>
      </c>
      <c r="B30" s="107" t="s">
        <v>36</v>
      </c>
      <c r="C30" s="75"/>
      <c r="D30" s="135"/>
      <c r="E30" s="135"/>
      <c r="F30" s="77"/>
      <c r="G30" s="72">
        <f t="shared" si="13"/>
        <v>0</v>
      </c>
      <c r="H30" s="73"/>
      <c r="I30" s="74">
        <f t="shared" si="14"/>
        <v>0</v>
      </c>
      <c r="J30" s="75"/>
      <c r="K30" s="76"/>
      <c r="L30" s="75"/>
      <c r="M30" s="77"/>
      <c r="N30" s="74">
        <f t="shared" si="2"/>
        <v>0</v>
      </c>
      <c r="O30" s="78"/>
      <c r="P30" s="79"/>
      <c r="Q30" s="177"/>
      <c r="R30" s="141"/>
    </row>
    <row r="31" spans="1:23" ht="26.25" customHeight="1" x14ac:dyDescent="0.3">
      <c r="A31" s="165"/>
      <c r="B31" s="107" t="s">
        <v>37</v>
      </c>
      <c r="C31" s="75"/>
      <c r="D31" s="135"/>
      <c r="E31" s="135"/>
      <c r="F31" s="77"/>
      <c r="G31" s="72">
        <f t="shared" si="13"/>
        <v>0</v>
      </c>
      <c r="H31" s="73"/>
      <c r="I31" s="74">
        <f t="shared" si="14"/>
        <v>0</v>
      </c>
      <c r="J31" s="75"/>
      <c r="K31" s="76"/>
      <c r="L31" s="75"/>
      <c r="M31" s="77"/>
      <c r="N31" s="74">
        <f t="shared" si="2"/>
        <v>0</v>
      </c>
      <c r="O31" s="78"/>
      <c r="P31" s="79"/>
      <c r="Q31" s="177"/>
      <c r="R31" s="141"/>
    </row>
    <row r="32" spans="1:23" ht="26.25" customHeight="1" x14ac:dyDescent="0.3">
      <c r="A32" s="80" t="s">
        <v>38</v>
      </c>
      <c r="B32" s="107" t="s">
        <v>39</v>
      </c>
      <c r="C32" s="75"/>
      <c r="D32" s="135"/>
      <c r="E32" s="135"/>
      <c r="F32" s="77"/>
      <c r="G32" s="72">
        <f t="shared" si="13"/>
        <v>0</v>
      </c>
      <c r="H32" s="73"/>
      <c r="I32" s="74">
        <f t="shared" si="14"/>
        <v>0</v>
      </c>
      <c r="J32" s="75"/>
      <c r="K32" s="76"/>
      <c r="L32" s="75"/>
      <c r="M32" s="77"/>
      <c r="N32" s="74">
        <f t="shared" si="2"/>
        <v>0</v>
      </c>
      <c r="O32" s="78"/>
      <c r="P32" s="79"/>
      <c r="Q32" s="177"/>
      <c r="R32" s="141"/>
    </row>
    <row r="33" spans="1:18" ht="26.25" customHeight="1" x14ac:dyDescent="0.3">
      <c r="A33" s="166">
        <f>A23+3</f>
        <v>357</v>
      </c>
      <c r="B33" s="107" t="s">
        <v>40</v>
      </c>
      <c r="C33" s="82"/>
      <c r="D33" s="136"/>
      <c r="E33" s="136"/>
      <c r="F33" s="137"/>
      <c r="G33" s="72">
        <f t="shared" si="13"/>
        <v>0</v>
      </c>
      <c r="H33" s="73"/>
      <c r="I33" s="74">
        <f t="shared" ref="I33:I34" si="15">IF((G33-C33)&lt;0,TEXT(C33-G33,"-[hh]:mm"),G33-C33)</f>
        <v>0</v>
      </c>
      <c r="J33" s="75"/>
      <c r="K33" s="76"/>
      <c r="L33" s="75"/>
      <c r="M33" s="77"/>
      <c r="N33" s="74">
        <f t="shared" si="2"/>
        <v>0</v>
      </c>
      <c r="O33" s="78"/>
      <c r="P33" s="79"/>
      <c r="Q33" s="178"/>
      <c r="R33" s="179"/>
    </row>
    <row r="34" spans="1:18" ht="26.25" customHeight="1" x14ac:dyDescent="0.3">
      <c r="A34" s="165"/>
      <c r="B34" s="108" t="s">
        <v>41</v>
      </c>
      <c r="C34" s="88"/>
      <c r="D34" s="89"/>
      <c r="E34" s="89"/>
      <c r="F34" s="90"/>
      <c r="G34" s="91">
        <f t="shared" si="13"/>
        <v>0</v>
      </c>
      <c r="H34" s="92"/>
      <c r="I34" s="94">
        <f t="shared" si="15"/>
        <v>0</v>
      </c>
      <c r="J34" s="88"/>
      <c r="K34" s="93"/>
      <c r="L34" s="88"/>
      <c r="M34" s="90"/>
      <c r="N34" s="94">
        <f t="shared" si="2"/>
        <v>0</v>
      </c>
      <c r="O34" s="78"/>
      <c r="P34" s="79"/>
      <c r="Q34" s="177"/>
      <c r="R34" s="141"/>
    </row>
    <row r="35" spans="1:18" ht="26.25" customHeight="1" x14ac:dyDescent="0.3">
      <c r="A35" s="109">
        <f>IF(A28&lt;&gt;"",A28+1,"")</f>
        <v>52</v>
      </c>
      <c r="B35" s="110" t="s">
        <v>42</v>
      </c>
      <c r="C35" s="97">
        <f>SUM(C29:C34)</f>
        <v>0</v>
      </c>
      <c r="D35" s="112"/>
      <c r="E35" s="112"/>
      <c r="F35" s="99">
        <f t="shared" ref="F35:G35" si="16">SUM(F29:F34)</f>
        <v>0</v>
      </c>
      <c r="G35" s="99">
        <f t="shared" si="16"/>
        <v>0</v>
      </c>
      <c r="H35" s="100"/>
      <c r="I35" s="101">
        <f t="shared" ref="I35:I36" si="17">IF((G35-C35+J35)&lt;0,TEXT(C35-G35-J35,"-[h]:mm"),G35-C35+J35)</f>
        <v>0</v>
      </c>
      <c r="J35" s="102">
        <f>SUM(J29:J34)</f>
        <v>0</v>
      </c>
      <c r="K35" s="103">
        <f>IF(LEFT(K28,1)="-",IF((G35-C35+J35-N6)&lt;0,TEXT(C35-G35-J35+N6,"-[hh]:mm"),G35-C35+J35-N6),IF((G35-C35+J35+N6)&lt;0,TEXT(C35-G35+J35-N6,"-[hh]:mm"),G35-C35+J35+N6))</f>
        <v>0</v>
      </c>
      <c r="L35" s="102">
        <f t="shared" ref="L35:M35" si="18">SUM(L29:L34)</f>
        <v>0</v>
      </c>
      <c r="M35" s="99">
        <f t="shared" si="18"/>
        <v>0</v>
      </c>
      <c r="N35" s="101">
        <f t="shared" si="2"/>
        <v>0</v>
      </c>
      <c r="O35" s="105"/>
      <c r="P35" s="106"/>
      <c r="Q35" s="161"/>
      <c r="R35" s="162"/>
    </row>
    <row r="36" spans="1:18" ht="30.75" customHeight="1" x14ac:dyDescent="0.3">
      <c r="A36" s="115"/>
      <c r="B36" s="116" t="s">
        <v>42</v>
      </c>
      <c r="C36" s="117">
        <f>C14+C21+C28+C35</f>
        <v>0</v>
      </c>
      <c r="D36" s="118"/>
      <c r="E36" s="118"/>
      <c r="F36" s="118"/>
      <c r="G36" s="119">
        <f>G14+G21+G28+G35</f>
        <v>0</v>
      </c>
      <c r="H36" s="120"/>
      <c r="I36" s="121">
        <f t="shared" si="17"/>
        <v>0</v>
      </c>
      <c r="J36" s="122">
        <f>J14+J21+J28+J35</f>
        <v>0</v>
      </c>
      <c r="K36" s="122">
        <f>K35</f>
        <v>0</v>
      </c>
      <c r="L36" s="123"/>
      <c r="M36" s="124"/>
      <c r="N36" s="150" t="s">
        <v>43</v>
      </c>
      <c r="O36" s="151"/>
      <c r="P36" s="152"/>
      <c r="Q36" s="180">
        <f>K36</f>
        <v>0</v>
      </c>
      <c r="R36" s="139"/>
    </row>
    <row r="37" spans="1:18" ht="30.75" customHeight="1" x14ac:dyDescent="0.3">
      <c r="A37" s="125"/>
      <c r="B37" s="126"/>
      <c r="C37" s="127"/>
      <c r="D37" s="30"/>
      <c r="E37" s="30"/>
      <c r="F37" s="30"/>
      <c r="G37" s="128"/>
      <c r="H37" s="129"/>
      <c r="I37" s="130"/>
      <c r="J37" s="130"/>
      <c r="K37" s="130"/>
      <c r="L37" s="131"/>
      <c r="M37" s="132"/>
      <c r="N37" s="153" t="s">
        <v>44</v>
      </c>
      <c r="O37" s="154"/>
      <c r="P37" s="155"/>
      <c r="Q37" s="180">
        <f>I35</f>
        <v>0</v>
      </c>
      <c r="R37" s="139"/>
    </row>
    <row r="38" spans="1:18" ht="23.25" customHeight="1" x14ac:dyDescent="0.3">
      <c r="A38" s="25" t="s">
        <v>45</v>
      </c>
      <c r="E38" s="25"/>
      <c r="F38" s="156">
        <f ca="1">TODAY()</f>
        <v>46019</v>
      </c>
      <c r="G38" s="149"/>
      <c r="H38" s="149"/>
      <c r="I38" s="149"/>
      <c r="M38" s="146"/>
      <c r="N38" s="147"/>
      <c r="O38" s="147"/>
      <c r="P38" s="147"/>
      <c r="Q38" s="147"/>
      <c r="R38" s="147"/>
    </row>
    <row r="39" spans="1:18" ht="12.75" customHeight="1" x14ac:dyDescent="0.3">
      <c r="A39" s="25" t="s">
        <v>46</v>
      </c>
      <c r="F39" s="157" t="s">
        <v>47</v>
      </c>
      <c r="G39" s="158"/>
      <c r="H39" s="158"/>
      <c r="I39" s="158"/>
      <c r="M39" s="148" t="s">
        <v>48</v>
      </c>
      <c r="N39" s="149"/>
      <c r="O39" s="149"/>
      <c r="P39" s="149"/>
      <c r="Q39" s="149"/>
      <c r="R39" s="149"/>
    </row>
    <row r="40" spans="1:18" ht="21.75" customHeight="1" x14ac:dyDescent="0.3">
      <c r="A40" s="25" t="s">
        <v>49</v>
      </c>
      <c r="H40" s="48"/>
      <c r="M40" s="146"/>
      <c r="N40" s="147"/>
      <c r="O40" s="147"/>
      <c r="P40" s="147"/>
      <c r="Q40" s="147"/>
      <c r="R40" s="147"/>
    </row>
    <row r="41" spans="1:18" ht="15" customHeight="1" x14ac:dyDescent="0.3">
      <c r="A41" s="25" t="s">
        <v>50</v>
      </c>
      <c r="F41" s="157" t="s">
        <v>47</v>
      </c>
      <c r="G41" s="158"/>
      <c r="H41" s="158"/>
      <c r="I41" s="158"/>
      <c r="M41" s="148" t="s">
        <v>51</v>
      </c>
      <c r="N41" s="149"/>
      <c r="O41" s="149"/>
      <c r="P41" s="149"/>
      <c r="Q41" s="149"/>
      <c r="R41" s="149"/>
    </row>
    <row r="42" spans="1:18" ht="12.75" customHeight="1" x14ac:dyDescent="0.3">
      <c r="H42" s="48"/>
    </row>
    <row r="43" spans="1:18" ht="12.75" customHeight="1" x14ac:dyDescent="0.3">
      <c r="H43" s="48"/>
    </row>
    <row r="44" spans="1:18" ht="12.75" customHeight="1" x14ac:dyDescent="0.3">
      <c r="H44" s="48"/>
    </row>
    <row r="45" spans="1:18" ht="12.75" customHeight="1" x14ac:dyDescent="0.3">
      <c r="H45" s="48"/>
    </row>
    <row r="46" spans="1:18" ht="12.75" customHeight="1" x14ac:dyDescent="0.3">
      <c r="H46" s="48"/>
    </row>
    <row r="47" spans="1:18" ht="12.75" customHeight="1" x14ac:dyDescent="0.3">
      <c r="H47" s="48"/>
    </row>
    <row r="48" spans="1:18" ht="12.75" customHeight="1" x14ac:dyDescent="0.3">
      <c r="H48" s="48"/>
    </row>
    <row r="49" spans="8:8" ht="12.75" customHeight="1" x14ac:dyDescent="0.3">
      <c r="H49" s="48"/>
    </row>
    <row r="50" spans="8:8" ht="12.75" customHeight="1" x14ac:dyDescent="0.3">
      <c r="H50" s="48"/>
    </row>
    <row r="51" spans="8:8" ht="12.75" customHeight="1" x14ac:dyDescent="0.3">
      <c r="H51" s="48"/>
    </row>
    <row r="52" spans="8:8" ht="12.75" customHeight="1" x14ac:dyDescent="0.3">
      <c r="H52" s="48"/>
    </row>
    <row r="53" spans="8:8" ht="12.75" customHeight="1" x14ac:dyDescent="0.3">
      <c r="H53" s="48"/>
    </row>
    <row r="54" spans="8:8" ht="12.75" customHeight="1" x14ac:dyDescent="0.3">
      <c r="H54" s="48"/>
    </row>
    <row r="55" spans="8:8" ht="12.75" customHeight="1" x14ac:dyDescent="0.3">
      <c r="H55" s="48"/>
    </row>
    <row r="56" spans="8:8" ht="12.75" customHeight="1" x14ac:dyDescent="0.3">
      <c r="H56" s="48"/>
    </row>
    <row r="57" spans="8:8" ht="12.75" customHeight="1" x14ac:dyDescent="0.3">
      <c r="H57" s="48"/>
    </row>
    <row r="58" spans="8:8" ht="12.75" customHeight="1" x14ac:dyDescent="0.3">
      <c r="H58" s="48"/>
    </row>
    <row r="59" spans="8:8" ht="12.75" customHeight="1" x14ac:dyDescent="0.3">
      <c r="H59" s="48"/>
    </row>
    <row r="60" spans="8:8" ht="12.75" customHeight="1" x14ac:dyDescent="0.3">
      <c r="H60" s="48"/>
    </row>
    <row r="61" spans="8:8" ht="12.75" customHeight="1" x14ac:dyDescent="0.3">
      <c r="H61" s="48"/>
    </row>
    <row r="62" spans="8:8" ht="12.75" customHeight="1" x14ac:dyDescent="0.3">
      <c r="H62" s="48"/>
    </row>
    <row r="63" spans="8:8" ht="12.75" customHeight="1" x14ac:dyDescent="0.3">
      <c r="H63" s="48"/>
    </row>
    <row r="64" spans="8:8" ht="12.75" customHeight="1" x14ac:dyDescent="0.3">
      <c r="H64" s="48"/>
    </row>
    <row r="65" spans="8:8" ht="12.75" customHeight="1" x14ac:dyDescent="0.3">
      <c r="H65" s="48"/>
    </row>
    <row r="66" spans="8:8" ht="12.75" customHeight="1" x14ac:dyDescent="0.3">
      <c r="H66" s="48"/>
    </row>
    <row r="67" spans="8:8" ht="12.75" customHeight="1" x14ac:dyDescent="0.3">
      <c r="H67" s="48"/>
    </row>
    <row r="68" spans="8:8" ht="12.75" customHeight="1" x14ac:dyDescent="0.3">
      <c r="H68" s="48"/>
    </row>
    <row r="69" spans="8:8" ht="12.75" customHeight="1" x14ac:dyDescent="0.3">
      <c r="H69" s="48"/>
    </row>
    <row r="70" spans="8:8" ht="12.75" customHeight="1" x14ac:dyDescent="0.3">
      <c r="H70" s="48"/>
    </row>
    <row r="71" spans="8:8" ht="12.75" customHeight="1" x14ac:dyDescent="0.3">
      <c r="H71" s="48"/>
    </row>
    <row r="72" spans="8:8" ht="12.75" customHeight="1" x14ac:dyDescent="0.3">
      <c r="H72" s="48"/>
    </row>
    <row r="73" spans="8:8" ht="12.75" customHeight="1" x14ac:dyDescent="0.3">
      <c r="H73" s="48"/>
    </row>
    <row r="74" spans="8:8" ht="12.75" customHeight="1" x14ac:dyDescent="0.3">
      <c r="H74" s="48"/>
    </row>
    <row r="75" spans="8:8" ht="12.75" customHeight="1" x14ac:dyDescent="0.3">
      <c r="H75" s="48"/>
    </row>
    <row r="76" spans="8:8" ht="12.75" customHeight="1" x14ac:dyDescent="0.3">
      <c r="H76" s="48"/>
    </row>
    <row r="77" spans="8:8" ht="12.75" customHeight="1" x14ac:dyDescent="0.3">
      <c r="H77" s="48"/>
    </row>
    <row r="78" spans="8:8" ht="12.75" customHeight="1" x14ac:dyDescent="0.3">
      <c r="H78" s="48"/>
    </row>
    <row r="79" spans="8:8" ht="12.75" customHeight="1" x14ac:dyDescent="0.3">
      <c r="H79" s="48"/>
    </row>
    <row r="80" spans="8:8" ht="12.75" customHeight="1" x14ac:dyDescent="0.3">
      <c r="H80" s="48"/>
    </row>
    <row r="81" spans="8:8" ht="12.75" customHeight="1" x14ac:dyDescent="0.3">
      <c r="H81" s="48"/>
    </row>
    <row r="82" spans="8:8" ht="12.75" customHeight="1" x14ac:dyDescent="0.3">
      <c r="H82" s="48"/>
    </row>
    <row r="83" spans="8:8" ht="12.75" customHeight="1" x14ac:dyDescent="0.3">
      <c r="H83" s="48"/>
    </row>
    <row r="84" spans="8:8" ht="12.75" customHeight="1" x14ac:dyDescent="0.3">
      <c r="H84" s="48"/>
    </row>
    <row r="85" spans="8:8" ht="12.75" customHeight="1" x14ac:dyDescent="0.3">
      <c r="H85" s="48"/>
    </row>
    <row r="86" spans="8:8" ht="12.75" customHeight="1" x14ac:dyDescent="0.3">
      <c r="H86" s="48"/>
    </row>
    <row r="87" spans="8:8" ht="12.75" customHeight="1" x14ac:dyDescent="0.3">
      <c r="H87" s="48"/>
    </row>
    <row r="88" spans="8:8" ht="12.75" customHeight="1" x14ac:dyDescent="0.3">
      <c r="H88" s="48"/>
    </row>
    <row r="89" spans="8:8" ht="12.75" customHeight="1" x14ac:dyDescent="0.3">
      <c r="H89" s="48"/>
    </row>
    <row r="90" spans="8:8" ht="12.75" customHeight="1" x14ac:dyDescent="0.3">
      <c r="H90" s="48"/>
    </row>
    <row r="91" spans="8:8" ht="12.75" customHeight="1" x14ac:dyDescent="0.3">
      <c r="H91" s="48"/>
    </row>
    <row r="92" spans="8:8" ht="12.75" customHeight="1" x14ac:dyDescent="0.3">
      <c r="H92" s="48"/>
    </row>
    <row r="93" spans="8:8" ht="12.75" customHeight="1" x14ac:dyDescent="0.3">
      <c r="H93" s="48"/>
    </row>
    <row r="94" spans="8:8" ht="12.75" customHeight="1" x14ac:dyDescent="0.3">
      <c r="H94" s="48"/>
    </row>
    <row r="95" spans="8:8" ht="12.75" customHeight="1" x14ac:dyDescent="0.3">
      <c r="H95" s="48"/>
    </row>
    <row r="96" spans="8:8" ht="12.75" customHeight="1" x14ac:dyDescent="0.3">
      <c r="H96" s="48"/>
    </row>
    <row r="97" spans="8:8" ht="12.75" customHeight="1" x14ac:dyDescent="0.3">
      <c r="H97" s="48"/>
    </row>
    <row r="98" spans="8:8" ht="12.75" customHeight="1" x14ac:dyDescent="0.3">
      <c r="H98" s="48"/>
    </row>
    <row r="99" spans="8:8" ht="12.75" customHeight="1" x14ac:dyDescent="0.3">
      <c r="H99" s="48"/>
    </row>
    <row r="100" spans="8:8" ht="12.75" customHeight="1" x14ac:dyDescent="0.3">
      <c r="H100" s="48"/>
    </row>
    <row r="101" spans="8:8" ht="12.75" customHeight="1" x14ac:dyDescent="0.3">
      <c r="H101" s="48"/>
    </row>
    <row r="102" spans="8:8" ht="12.75" customHeight="1" x14ac:dyDescent="0.3">
      <c r="H102" s="48"/>
    </row>
    <row r="103" spans="8:8" ht="12.75" customHeight="1" x14ac:dyDescent="0.3">
      <c r="H103" s="48"/>
    </row>
    <row r="104" spans="8:8" ht="12.75" customHeight="1" x14ac:dyDescent="0.3">
      <c r="H104" s="48"/>
    </row>
    <row r="105" spans="8:8" ht="12.75" customHeight="1" x14ac:dyDescent="0.3">
      <c r="H105" s="48"/>
    </row>
    <row r="106" spans="8:8" ht="12.75" customHeight="1" x14ac:dyDescent="0.3">
      <c r="H106" s="48"/>
    </row>
    <row r="107" spans="8:8" ht="12.75" customHeight="1" x14ac:dyDescent="0.3">
      <c r="H107" s="48"/>
    </row>
    <row r="108" spans="8:8" ht="12.75" customHeight="1" x14ac:dyDescent="0.3">
      <c r="H108" s="48"/>
    </row>
    <row r="109" spans="8:8" ht="12.75" customHeight="1" x14ac:dyDescent="0.3">
      <c r="H109" s="48"/>
    </row>
    <row r="110" spans="8:8" ht="12.75" customHeight="1" x14ac:dyDescent="0.3">
      <c r="H110" s="48"/>
    </row>
    <row r="111" spans="8:8" ht="12.75" customHeight="1" x14ac:dyDescent="0.3">
      <c r="H111" s="48"/>
    </row>
    <row r="112" spans="8:8" ht="12.75" customHeight="1" x14ac:dyDescent="0.3">
      <c r="H112" s="48"/>
    </row>
    <row r="113" spans="8:8" ht="12.75" customHeight="1" x14ac:dyDescent="0.3">
      <c r="H113" s="48"/>
    </row>
    <row r="114" spans="8:8" ht="12.75" customHeight="1" x14ac:dyDescent="0.3">
      <c r="H114" s="48"/>
    </row>
    <row r="115" spans="8:8" ht="12.75" customHeight="1" x14ac:dyDescent="0.3">
      <c r="H115" s="48"/>
    </row>
    <row r="116" spans="8:8" ht="12.75" customHeight="1" x14ac:dyDescent="0.3">
      <c r="H116" s="48"/>
    </row>
    <row r="117" spans="8:8" ht="12.75" customHeight="1" x14ac:dyDescent="0.3">
      <c r="H117" s="48"/>
    </row>
    <row r="118" spans="8:8" ht="12.75" customHeight="1" x14ac:dyDescent="0.3">
      <c r="H118" s="48"/>
    </row>
    <row r="119" spans="8:8" ht="12.75" customHeight="1" x14ac:dyDescent="0.3">
      <c r="H119" s="48"/>
    </row>
    <row r="120" spans="8:8" ht="12.75" customHeight="1" x14ac:dyDescent="0.3">
      <c r="H120" s="48"/>
    </row>
    <row r="121" spans="8:8" ht="12.75" customHeight="1" x14ac:dyDescent="0.3">
      <c r="H121" s="48"/>
    </row>
    <row r="122" spans="8:8" ht="12.75" customHeight="1" x14ac:dyDescent="0.3">
      <c r="H122" s="48"/>
    </row>
    <row r="123" spans="8:8" ht="12.75" customHeight="1" x14ac:dyDescent="0.3">
      <c r="H123" s="48"/>
    </row>
    <row r="124" spans="8:8" ht="12.75" customHeight="1" x14ac:dyDescent="0.3">
      <c r="H124" s="48"/>
    </row>
    <row r="125" spans="8:8" ht="12.75" customHeight="1" x14ac:dyDescent="0.3">
      <c r="H125" s="48"/>
    </row>
    <row r="126" spans="8:8" ht="12.75" customHeight="1" x14ac:dyDescent="0.3">
      <c r="H126" s="48"/>
    </row>
    <row r="127" spans="8:8" ht="12.75" customHeight="1" x14ac:dyDescent="0.3">
      <c r="H127" s="48"/>
    </row>
    <row r="128" spans="8:8" ht="12.75" customHeight="1" x14ac:dyDescent="0.3">
      <c r="H128" s="48"/>
    </row>
    <row r="129" spans="8:8" ht="12.75" customHeight="1" x14ac:dyDescent="0.3">
      <c r="H129" s="48"/>
    </row>
    <row r="130" spans="8:8" ht="12.75" customHeight="1" x14ac:dyDescent="0.3">
      <c r="H130" s="48"/>
    </row>
    <row r="131" spans="8:8" ht="12.75" customHeight="1" x14ac:dyDescent="0.3">
      <c r="H131" s="48"/>
    </row>
    <row r="132" spans="8:8" ht="12.75" customHeight="1" x14ac:dyDescent="0.3">
      <c r="H132" s="48"/>
    </row>
    <row r="133" spans="8:8" ht="12.75" customHeight="1" x14ac:dyDescent="0.3">
      <c r="H133" s="48"/>
    </row>
    <row r="134" spans="8:8" ht="12.75" customHeight="1" x14ac:dyDescent="0.3">
      <c r="H134" s="48"/>
    </row>
    <row r="135" spans="8:8" ht="12.75" customHeight="1" x14ac:dyDescent="0.3">
      <c r="H135" s="48"/>
    </row>
    <row r="136" spans="8:8" ht="12.75" customHeight="1" x14ac:dyDescent="0.3">
      <c r="H136" s="48"/>
    </row>
    <row r="137" spans="8:8" ht="12.75" customHeight="1" x14ac:dyDescent="0.3">
      <c r="H137" s="48"/>
    </row>
    <row r="138" spans="8:8" ht="12.75" customHeight="1" x14ac:dyDescent="0.3">
      <c r="H138" s="48"/>
    </row>
    <row r="139" spans="8:8" ht="12.75" customHeight="1" x14ac:dyDescent="0.3">
      <c r="H139" s="48"/>
    </row>
    <row r="140" spans="8:8" ht="12.75" customHeight="1" x14ac:dyDescent="0.3">
      <c r="H140" s="48"/>
    </row>
    <row r="141" spans="8:8" ht="12.75" customHeight="1" x14ac:dyDescent="0.3">
      <c r="H141" s="48"/>
    </row>
    <row r="142" spans="8:8" ht="12.75" customHeight="1" x14ac:dyDescent="0.3">
      <c r="H142" s="48"/>
    </row>
    <row r="143" spans="8:8" ht="12.75" customHeight="1" x14ac:dyDescent="0.3">
      <c r="H143" s="48"/>
    </row>
    <row r="144" spans="8:8" ht="12.75" customHeight="1" x14ac:dyDescent="0.3">
      <c r="H144" s="48"/>
    </row>
    <row r="145" spans="8:8" ht="12.75" customHeight="1" x14ac:dyDescent="0.3">
      <c r="H145" s="48"/>
    </row>
    <row r="146" spans="8:8" ht="12.75" customHeight="1" x14ac:dyDescent="0.3">
      <c r="H146" s="48"/>
    </row>
    <row r="147" spans="8:8" ht="12.75" customHeight="1" x14ac:dyDescent="0.3">
      <c r="H147" s="48"/>
    </row>
    <row r="148" spans="8:8" ht="12.75" customHeight="1" x14ac:dyDescent="0.3">
      <c r="H148" s="48"/>
    </row>
    <row r="149" spans="8:8" ht="12.75" customHeight="1" x14ac:dyDescent="0.3">
      <c r="H149" s="48"/>
    </row>
    <row r="150" spans="8:8" ht="12.75" customHeight="1" x14ac:dyDescent="0.3">
      <c r="H150" s="48"/>
    </row>
    <row r="151" spans="8:8" ht="12.75" customHeight="1" x14ac:dyDescent="0.3">
      <c r="H151" s="48"/>
    </row>
    <row r="152" spans="8:8" ht="12.75" customHeight="1" x14ac:dyDescent="0.3">
      <c r="H152" s="48"/>
    </row>
    <row r="153" spans="8:8" ht="12.75" customHeight="1" x14ac:dyDescent="0.3">
      <c r="H153" s="48"/>
    </row>
    <row r="154" spans="8:8" ht="12.75" customHeight="1" x14ac:dyDescent="0.3">
      <c r="H154" s="48"/>
    </row>
    <row r="155" spans="8:8" ht="12.75" customHeight="1" x14ac:dyDescent="0.3">
      <c r="H155" s="48"/>
    </row>
    <row r="156" spans="8:8" ht="12.75" customHeight="1" x14ac:dyDescent="0.3">
      <c r="H156" s="48"/>
    </row>
    <row r="157" spans="8:8" ht="12.75" customHeight="1" x14ac:dyDescent="0.3">
      <c r="H157" s="48"/>
    </row>
    <row r="158" spans="8:8" ht="12.75" customHeight="1" x14ac:dyDescent="0.3">
      <c r="H158" s="48"/>
    </row>
    <row r="159" spans="8:8" ht="12.75" customHeight="1" x14ac:dyDescent="0.3">
      <c r="H159" s="48"/>
    </row>
    <row r="160" spans="8:8" ht="12.75" customHeight="1" x14ac:dyDescent="0.3">
      <c r="H160" s="48"/>
    </row>
    <row r="161" spans="8:8" ht="12.75" customHeight="1" x14ac:dyDescent="0.3">
      <c r="H161" s="48"/>
    </row>
    <row r="162" spans="8:8" ht="12.75" customHeight="1" x14ac:dyDescent="0.3">
      <c r="H162" s="48"/>
    </row>
    <row r="163" spans="8:8" ht="12.75" customHeight="1" x14ac:dyDescent="0.3">
      <c r="H163" s="48"/>
    </row>
    <row r="164" spans="8:8" ht="12.75" customHeight="1" x14ac:dyDescent="0.3">
      <c r="H164" s="48"/>
    </row>
    <row r="165" spans="8:8" ht="12.75" customHeight="1" x14ac:dyDescent="0.3">
      <c r="H165" s="48"/>
    </row>
    <row r="166" spans="8:8" ht="12.75" customHeight="1" x14ac:dyDescent="0.3">
      <c r="H166" s="48"/>
    </row>
    <row r="167" spans="8:8" ht="12.75" customHeight="1" x14ac:dyDescent="0.3">
      <c r="H167" s="48"/>
    </row>
    <row r="168" spans="8:8" ht="12.75" customHeight="1" x14ac:dyDescent="0.3">
      <c r="H168" s="48"/>
    </row>
    <row r="169" spans="8:8" ht="12.75" customHeight="1" x14ac:dyDescent="0.3">
      <c r="H169" s="48"/>
    </row>
    <row r="170" spans="8:8" ht="12.75" customHeight="1" x14ac:dyDescent="0.3">
      <c r="H170" s="48"/>
    </row>
    <row r="171" spans="8:8" ht="12.75" customHeight="1" x14ac:dyDescent="0.3">
      <c r="H171" s="48"/>
    </row>
    <row r="172" spans="8:8" ht="12.75" customHeight="1" x14ac:dyDescent="0.3">
      <c r="H172" s="48"/>
    </row>
    <row r="173" spans="8:8" ht="12.75" customHeight="1" x14ac:dyDescent="0.3">
      <c r="H173" s="48"/>
    </row>
    <row r="174" spans="8:8" ht="12.75" customHeight="1" x14ac:dyDescent="0.3">
      <c r="H174" s="48"/>
    </row>
    <row r="175" spans="8:8" ht="12.75" customHeight="1" x14ac:dyDescent="0.3">
      <c r="H175" s="48"/>
    </row>
    <row r="176" spans="8:8" ht="12.75" customHeight="1" x14ac:dyDescent="0.3">
      <c r="H176" s="48"/>
    </row>
    <row r="177" spans="8:8" ht="12.75" customHeight="1" x14ac:dyDescent="0.3">
      <c r="H177" s="48"/>
    </row>
    <row r="178" spans="8:8" ht="12.75" customHeight="1" x14ac:dyDescent="0.3">
      <c r="H178" s="48"/>
    </row>
    <row r="179" spans="8:8" ht="12.75" customHeight="1" x14ac:dyDescent="0.3">
      <c r="H179" s="48"/>
    </row>
    <row r="180" spans="8:8" ht="12.75" customHeight="1" x14ac:dyDescent="0.3">
      <c r="H180" s="48"/>
    </row>
    <row r="181" spans="8:8" ht="12.75" customHeight="1" x14ac:dyDescent="0.3">
      <c r="H181" s="48"/>
    </row>
    <row r="182" spans="8:8" ht="12.75" customHeight="1" x14ac:dyDescent="0.3">
      <c r="H182" s="48"/>
    </row>
    <row r="183" spans="8:8" ht="12.75" customHeight="1" x14ac:dyDescent="0.3">
      <c r="H183" s="48"/>
    </row>
    <row r="184" spans="8:8" ht="12.75" customHeight="1" x14ac:dyDescent="0.3">
      <c r="H184" s="48"/>
    </row>
    <row r="185" spans="8:8" ht="12.75" customHeight="1" x14ac:dyDescent="0.3">
      <c r="H185" s="48"/>
    </row>
    <row r="186" spans="8:8" ht="12.75" customHeight="1" x14ac:dyDescent="0.3">
      <c r="H186" s="48"/>
    </row>
    <row r="187" spans="8:8" ht="12.75" customHeight="1" x14ac:dyDescent="0.3">
      <c r="H187" s="48"/>
    </row>
    <row r="188" spans="8:8" ht="12.75" customHeight="1" x14ac:dyDescent="0.3">
      <c r="H188" s="48"/>
    </row>
    <row r="189" spans="8:8" ht="12.75" customHeight="1" x14ac:dyDescent="0.3">
      <c r="H189" s="48"/>
    </row>
    <row r="190" spans="8:8" ht="12.75" customHeight="1" x14ac:dyDescent="0.3">
      <c r="H190" s="48"/>
    </row>
    <row r="191" spans="8:8" ht="12.75" customHeight="1" x14ac:dyDescent="0.3">
      <c r="H191" s="48"/>
    </row>
    <row r="192" spans="8:8" ht="12.75" customHeight="1" x14ac:dyDescent="0.3">
      <c r="H192" s="48"/>
    </row>
    <row r="193" spans="8:8" ht="12.75" customHeight="1" x14ac:dyDescent="0.3">
      <c r="H193" s="48"/>
    </row>
    <row r="194" spans="8:8" ht="12.75" customHeight="1" x14ac:dyDescent="0.3">
      <c r="H194" s="48"/>
    </row>
    <row r="195" spans="8:8" ht="12.75" customHeight="1" x14ac:dyDescent="0.3">
      <c r="H195" s="48"/>
    </row>
    <row r="196" spans="8:8" ht="12.75" customHeight="1" x14ac:dyDescent="0.3">
      <c r="H196" s="48"/>
    </row>
    <row r="197" spans="8:8" ht="12.75" customHeight="1" x14ac:dyDescent="0.3">
      <c r="H197" s="48"/>
    </row>
    <row r="198" spans="8:8" ht="12.75" customHeight="1" x14ac:dyDescent="0.3">
      <c r="H198" s="48"/>
    </row>
    <row r="199" spans="8:8" ht="12.75" customHeight="1" x14ac:dyDescent="0.3">
      <c r="H199" s="48"/>
    </row>
    <row r="200" spans="8:8" ht="12.75" customHeight="1" x14ac:dyDescent="0.3">
      <c r="H200" s="48"/>
    </row>
    <row r="201" spans="8:8" ht="12.75" customHeight="1" x14ac:dyDescent="0.3">
      <c r="H201" s="48"/>
    </row>
    <row r="202" spans="8:8" ht="12.75" customHeight="1" x14ac:dyDescent="0.3">
      <c r="H202" s="48"/>
    </row>
    <row r="203" spans="8:8" ht="12.75" customHeight="1" x14ac:dyDescent="0.3">
      <c r="H203" s="48"/>
    </row>
    <row r="204" spans="8:8" ht="12.75" customHeight="1" x14ac:dyDescent="0.3">
      <c r="H204" s="48"/>
    </row>
    <row r="205" spans="8:8" ht="12.75" customHeight="1" x14ac:dyDescent="0.3">
      <c r="H205" s="48"/>
    </row>
    <row r="206" spans="8:8" ht="12.75" customHeight="1" x14ac:dyDescent="0.3">
      <c r="H206" s="48"/>
    </row>
    <row r="207" spans="8:8" ht="12.75" customHeight="1" x14ac:dyDescent="0.3">
      <c r="H207" s="48"/>
    </row>
    <row r="208" spans="8:8" ht="12.75" customHeight="1" x14ac:dyDescent="0.3">
      <c r="H208" s="48"/>
    </row>
    <row r="209" spans="8:8" ht="12.75" customHeight="1" x14ac:dyDescent="0.3">
      <c r="H209" s="48"/>
    </row>
    <row r="210" spans="8:8" ht="12.75" customHeight="1" x14ac:dyDescent="0.3">
      <c r="H210" s="48"/>
    </row>
    <row r="211" spans="8:8" ht="12.75" customHeight="1" x14ac:dyDescent="0.3">
      <c r="H211" s="48"/>
    </row>
    <row r="212" spans="8:8" ht="12.75" customHeight="1" x14ac:dyDescent="0.3">
      <c r="H212" s="48"/>
    </row>
    <row r="213" spans="8:8" ht="12.75" customHeight="1" x14ac:dyDescent="0.3">
      <c r="H213" s="48"/>
    </row>
    <row r="214" spans="8:8" ht="12.75" customHeight="1" x14ac:dyDescent="0.3">
      <c r="H214" s="48"/>
    </row>
    <row r="215" spans="8:8" ht="12.75" customHeight="1" x14ac:dyDescent="0.3">
      <c r="H215" s="48"/>
    </row>
    <row r="216" spans="8:8" ht="12.75" customHeight="1" x14ac:dyDescent="0.3">
      <c r="H216" s="48"/>
    </row>
    <row r="217" spans="8:8" ht="12.75" customHeight="1" x14ac:dyDescent="0.3">
      <c r="H217" s="48"/>
    </row>
    <row r="218" spans="8:8" ht="12.75" customHeight="1" x14ac:dyDescent="0.3">
      <c r="H218" s="48"/>
    </row>
    <row r="219" spans="8:8" ht="12.75" customHeight="1" x14ac:dyDescent="0.3">
      <c r="H219" s="48"/>
    </row>
    <row r="220" spans="8:8" ht="12.75" customHeight="1" x14ac:dyDescent="0.3">
      <c r="H220" s="48"/>
    </row>
    <row r="221" spans="8:8" ht="12.75" customHeight="1" x14ac:dyDescent="0.3">
      <c r="H221" s="48"/>
    </row>
    <row r="222" spans="8:8" ht="12.75" customHeight="1" x14ac:dyDescent="0.3">
      <c r="H222" s="48"/>
    </row>
    <row r="223" spans="8:8" ht="12.75" customHeight="1" x14ac:dyDescent="0.3">
      <c r="H223" s="48"/>
    </row>
    <row r="224" spans="8:8" ht="12.75" customHeight="1" x14ac:dyDescent="0.3">
      <c r="H224" s="48"/>
    </row>
    <row r="225" spans="8:8" ht="12.75" customHeight="1" x14ac:dyDescent="0.3">
      <c r="H225" s="48"/>
    </row>
    <row r="226" spans="8:8" ht="12.75" customHeight="1" x14ac:dyDescent="0.3">
      <c r="H226" s="48"/>
    </row>
    <row r="227" spans="8:8" ht="12.75" customHeight="1" x14ac:dyDescent="0.3">
      <c r="H227" s="48"/>
    </row>
    <row r="228" spans="8:8" ht="12.75" customHeight="1" x14ac:dyDescent="0.3">
      <c r="H228" s="48"/>
    </row>
    <row r="229" spans="8:8" ht="12.75" customHeight="1" x14ac:dyDescent="0.3">
      <c r="H229" s="48"/>
    </row>
    <row r="230" spans="8:8" ht="12.75" customHeight="1" x14ac:dyDescent="0.3">
      <c r="H230" s="48"/>
    </row>
    <row r="231" spans="8:8" ht="12.75" customHeight="1" x14ac:dyDescent="0.3">
      <c r="H231" s="48"/>
    </row>
    <row r="232" spans="8:8" ht="12.75" customHeight="1" x14ac:dyDescent="0.3">
      <c r="H232" s="48"/>
    </row>
    <row r="233" spans="8:8" ht="12.75" customHeight="1" x14ac:dyDescent="0.3">
      <c r="H233" s="48"/>
    </row>
    <row r="234" spans="8:8" ht="12.75" customHeight="1" x14ac:dyDescent="0.3">
      <c r="H234" s="48"/>
    </row>
    <row r="235" spans="8:8" ht="12.75" customHeight="1" x14ac:dyDescent="0.3">
      <c r="H235" s="48"/>
    </row>
    <row r="236" spans="8:8" ht="12.75" customHeight="1" x14ac:dyDescent="0.3">
      <c r="H236" s="48"/>
    </row>
    <row r="237" spans="8:8" ht="12.75" customHeight="1" x14ac:dyDescent="0.3">
      <c r="H237" s="48"/>
    </row>
    <row r="238" spans="8:8" ht="12.75" customHeight="1" x14ac:dyDescent="0.3">
      <c r="H238" s="48"/>
    </row>
    <row r="239" spans="8:8" ht="12.75" customHeight="1" x14ac:dyDescent="0.3">
      <c r="H239" s="48"/>
    </row>
    <row r="240" spans="8:8" ht="12.75" customHeight="1" x14ac:dyDescent="0.3">
      <c r="H240" s="48"/>
    </row>
    <row r="241" spans="8:8" ht="12.75" customHeight="1" x14ac:dyDescent="0.3">
      <c r="H241" s="48"/>
    </row>
    <row r="242" spans="8:8" ht="12.75" customHeight="1" x14ac:dyDescent="0.3">
      <c r="H242" s="48"/>
    </row>
    <row r="243" spans="8:8" ht="12.75" customHeight="1" x14ac:dyDescent="0.3">
      <c r="H243" s="48"/>
    </row>
    <row r="244" spans="8:8" ht="12.75" customHeight="1" x14ac:dyDescent="0.3">
      <c r="H244" s="48"/>
    </row>
    <row r="245" spans="8:8" ht="12.75" customHeight="1" x14ac:dyDescent="0.3">
      <c r="H245" s="48"/>
    </row>
    <row r="246" spans="8:8" ht="12.75" customHeight="1" x14ac:dyDescent="0.3">
      <c r="H246" s="48"/>
    </row>
    <row r="247" spans="8:8" ht="12.75" customHeight="1" x14ac:dyDescent="0.3">
      <c r="H247" s="48"/>
    </row>
    <row r="248" spans="8:8" ht="12.75" customHeight="1" x14ac:dyDescent="0.3">
      <c r="H248" s="48"/>
    </row>
    <row r="249" spans="8:8" ht="12.75" customHeight="1" x14ac:dyDescent="0.3">
      <c r="H249" s="48"/>
    </row>
    <row r="250" spans="8:8" ht="12.75" customHeight="1" x14ac:dyDescent="0.3">
      <c r="H250" s="48"/>
    </row>
    <row r="251" spans="8:8" ht="12.75" customHeight="1" x14ac:dyDescent="0.3">
      <c r="H251" s="48"/>
    </row>
    <row r="252" spans="8:8" ht="12.75" customHeight="1" x14ac:dyDescent="0.3">
      <c r="H252" s="48"/>
    </row>
    <row r="253" spans="8:8" ht="12.75" customHeight="1" x14ac:dyDescent="0.3">
      <c r="H253" s="48"/>
    </row>
    <row r="254" spans="8:8" ht="12.75" customHeight="1" x14ac:dyDescent="0.3">
      <c r="H254" s="48"/>
    </row>
    <row r="255" spans="8:8" ht="12.75" customHeight="1" x14ac:dyDescent="0.3">
      <c r="H255" s="48"/>
    </row>
    <row r="256" spans="8:8" ht="12.75" customHeight="1" x14ac:dyDescent="0.3">
      <c r="H256" s="48"/>
    </row>
    <row r="257" spans="8:8" ht="12.75" customHeight="1" x14ac:dyDescent="0.3">
      <c r="H257" s="48"/>
    </row>
    <row r="258" spans="8:8" ht="12.75" customHeight="1" x14ac:dyDescent="0.3">
      <c r="H258" s="48"/>
    </row>
    <row r="259" spans="8:8" ht="12.75" customHeight="1" x14ac:dyDescent="0.3">
      <c r="H259" s="48"/>
    </row>
    <row r="260" spans="8:8" ht="12.75" customHeight="1" x14ac:dyDescent="0.3">
      <c r="H260" s="48"/>
    </row>
    <row r="261" spans="8:8" ht="12.75" customHeight="1" x14ac:dyDescent="0.3">
      <c r="H261" s="48"/>
    </row>
    <row r="262" spans="8:8" ht="12.75" customHeight="1" x14ac:dyDescent="0.3">
      <c r="H262" s="48"/>
    </row>
    <row r="263" spans="8:8" ht="12.75" customHeight="1" x14ac:dyDescent="0.3">
      <c r="H263" s="48"/>
    </row>
    <row r="264" spans="8:8" ht="12.75" customHeight="1" x14ac:dyDescent="0.3">
      <c r="H264" s="48"/>
    </row>
    <row r="265" spans="8:8" ht="12.75" customHeight="1" x14ac:dyDescent="0.3">
      <c r="H265" s="48"/>
    </row>
    <row r="266" spans="8:8" ht="12.75" customHeight="1" x14ac:dyDescent="0.3">
      <c r="H266" s="48"/>
    </row>
    <row r="267" spans="8:8" ht="12.75" customHeight="1" x14ac:dyDescent="0.3">
      <c r="H267" s="48"/>
    </row>
    <row r="268" spans="8:8" ht="12.75" customHeight="1" x14ac:dyDescent="0.3">
      <c r="H268" s="48"/>
    </row>
    <row r="269" spans="8:8" ht="12.75" customHeight="1" x14ac:dyDescent="0.3">
      <c r="H269" s="48"/>
    </row>
    <row r="270" spans="8:8" ht="12.75" customHeight="1" x14ac:dyDescent="0.3">
      <c r="H270" s="48"/>
    </row>
    <row r="271" spans="8:8" ht="12.75" customHeight="1" x14ac:dyDescent="0.3">
      <c r="H271" s="48"/>
    </row>
    <row r="272" spans="8:8" ht="12.75" customHeight="1" x14ac:dyDescent="0.3">
      <c r="H272" s="48"/>
    </row>
    <row r="273" spans="8:8" ht="12.75" customHeight="1" x14ac:dyDescent="0.3">
      <c r="H273" s="48"/>
    </row>
    <row r="274" spans="8:8" ht="12.75" customHeight="1" x14ac:dyDescent="0.3">
      <c r="H274" s="48"/>
    </row>
    <row r="275" spans="8:8" ht="12.75" customHeight="1" x14ac:dyDescent="0.3">
      <c r="H275" s="48"/>
    </row>
    <row r="276" spans="8:8" ht="12.75" customHeight="1" x14ac:dyDescent="0.3">
      <c r="H276" s="48"/>
    </row>
    <row r="277" spans="8:8" ht="12.75" customHeight="1" x14ac:dyDescent="0.3">
      <c r="H277" s="48"/>
    </row>
    <row r="278" spans="8:8" ht="12.75" customHeight="1" x14ac:dyDescent="0.3">
      <c r="H278" s="48"/>
    </row>
    <row r="279" spans="8:8" ht="12.75" customHeight="1" x14ac:dyDescent="0.3">
      <c r="H279" s="48"/>
    </row>
    <row r="280" spans="8:8" ht="12.75" customHeight="1" x14ac:dyDescent="0.3">
      <c r="H280" s="48"/>
    </row>
    <row r="281" spans="8:8" ht="12.75" customHeight="1" x14ac:dyDescent="0.3">
      <c r="H281" s="48"/>
    </row>
    <row r="282" spans="8:8" ht="12.75" customHeight="1" x14ac:dyDescent="0.3">
      <c r="H282" s="48"/>
    </row>
    <row r="283" spans="8:8" ht="12.75" customHeight="1" x14ac:dyDescent="0.3">
      <c r="H283" s="48"/>
    </row>
    <row r="284" spans="8:8" ht="12.75" customHeight="1" x14ac:dyDescent="0.3">
      <c r="H284" s="48"/>
    </row>
    <row r="285" spans="8:8" ht="12.75" customHeight="1" x14ac:dyDescent="0.3">
      <c r="H285" s="48"/>
    </row>
    <row r="286" spans="8:8" ht="12.75" customHeight="1" x14ac:dyDescent="0.3">
      <c r="H286" s="48"/>
    </row>
    <row r="287" spans="8:8" ht="12.75" customHeight="1" x14ac:dyDescent="0.3">
      <c r="H287" s="48"/>
    </row>
    <row r="288" spans="8:8" ht="12.75" customHeight="1" x14ac:dyDescent="0.3">
      <c r="H288" s="48"/>
    </row>
    <row r="289" spans="8:8" ht="12.75" customHeight="1" x14ac:dyDescent="0.3">
      <c r="H289" s="48"/>
    </row>
    <row r="290" spans="8:8" ht="12.75" customHeight="1" x14ac:dyDescent="0.3">
      <c r="H290" s="48"/>
    </row>
    <row r="291" spans="8:8" ht="12.75" customHeight="1" x14ac:dyDescent="0.3">
      <c r="H291" s="48"/>
    </row>
    <row r="292" spans="8:8" ht="12.75" customHeight="1" x14ac:dyDescent="0.3">
      <c r="H292" s="48"/>
    </row>
    <row r="293" spans="8:8" ht="12.75" customHeight="1" x14ac:dyDescent="0.3">
      <c r="H293" s="48"/>
    </row>
    <row r="294" spans="8:8" ht="12.75" customHeight="1" x14ac:dyDescent="0.3">
      <c r="H294" s="48"/>
    </row>
    <row r="295" spans="8:8" ht="12.75" customHeight="1" x14ac:dyDescent="0.3">
      <c r="H295" s="48"/>
    </row>
    <row r="296" spans="8:8" ht="12.75" customHeight="1" x14ac:dyDescent="0.3">
      <c r="H296" s="48"/>
    </row>
    <row r="297" spans="8:8" ht="12.75" customHeight="1" x14ac:dyDescent="0.3">
      <c r="H297" s="48"/>
    </row>
    <row r="298" spans="8:8" ht="12.75" customHeight="1" x14ac:dyDescent="0.3">
      <c r="H298" s="48"/>
    </row>
    <row r="299" spans="8:8" ht="12.75" customHeight="1" x14ac:dyDescent="0.3">
      <c r="H299" s="48"/>
    </row>
    <row r="300" spans="8:8" ht="12.75" customHeight="1" x14ac:dyDescent="0.3">
      <c r="H300" s="48"/>
    </row>
    <row r="301" spans="8:8" ht="12.75" customHeight="1" x14ac:dyDescent="0.3">
      <c r="H301" s="48"/>
    </row>
    <row r="302" spans="8:8" ht="12.75" customHeight="1" x14ac:dyDescent="0.3">
      <c r="H302" s="48"/>
    </row>
    <row r="303" spans="8:8" ht="12.75" customHeight="1" x14ac:dyDescent="0.3">
      <c r="H303" s="48"/>
    </row>
    <row r="304" spans="8:8" ht="12.75" customHeight="1" x14ac:dyDescent="0.3">
      <c r="H304" s="48"/>
    </row>
    <row r="305" spans="8:8" ht="12.75" customHeight="1" x14ac:dyDescent="0.3">
      <c r="H305" s="48"/>
    </row>
    <row r="306" spans="8:8" ht="12.75" customHeight="1" x14ac:dyDescent="0.3">
      <c r="H306" s="48"/>
    </row>
    <row r="307" spans="8:8" ht="12.75" customHeight="1" x14ac:dyDescent="0.3">
      <c r="H307" s="48"/>
    </row>
    <row r="308" spans="8:8" ht="12.75" customHeight="1" x14ac:dyDescent="0.3">
      <c r="H308" s="48"/>
    </row>
    <row r="309" spans="8:8" ht="12.75" customHeight="1" x14ac:dyDescent="0.3">
      <c r="H309" s="48"/>
    </row>
    <row r="310" spans="8:8" ht="12.75" customHeight="1" x14ac:dyDescent="0.3">
      <c r="H310" s="48"/>
    </row>
    <row r="311" spans="8:8" ht="12.75" customHeight="1" x14ac:dyDescent="0.3">
      <c r="H311" s="48"/>
    </row>
    <row r="312" spans="8:8" ht="12.75" customHeight="1" x14ac:dyDescent="0.3">
      <c r="H312" s="48"/>
    </row>
    <row r="313" spans="8:8" ht="12.75" customHeight="1" x14ac:dyDescent="0.3">
      <c r="H313" s="48"/>
    </row>
    <row r="314" spans="8:8" ht="12.75" customHeight="1" x14ac:dyDescent="0.3">
      <c r="H314" s="48"/>
    </row>
    <row r="315" spans="8:8" ht="12.75" customHeight="1" x14ac:dyDescent="0.3">
      <c r="H315" s="48"/>
    </row>
    <row r="316" spans="8:8" ht="12.75" customHeight="1" x14ac:dyDescent="0.3">
      <c r="H316" s="48"/>
    </row>
    <row r="317" spans="8:8" ht="12.75" customHeight="1" x14ac:dyDescent="0.3">
      <c r="H317" s="48"/>
    </row>
    <row r="318" spans="8:8" ht="12.75" customHeight="1" x14ac:dyDescent="0.3">
      <c r="H318" s="48"/>
    </row>
    <row r="319" spans="8:8" ht="12.75" customHeight="1" x14ac:dyDescent="0.3">
      <c r="H319" s="48"/>
    </row>
    <row r="320" spans="8:8" ht="12.75" customHeight="1" x14ac:dyDescent="0.3">
      <c r="H320" s="48"/>
    </row>
    <row r="321" spans="8:8" ht="12.75" customHeight="1" x14ac:dyDescent="0.3">
      <c r="H321" s="48"/>
    </row>
    <row r="322" spans="8:8" ht="12.75" customHeight="1" x14ac:dyDescent="0.3">
      <c r="H322" s="48"/>
    </row>
    <row r="323" spans="8:8" ht="12.75" customHeight="1" x14ac:dyDescent="0.3">
      <c r="H323" s="48"/>
    </row>
    <row r="324" spans="8:8" ht="12.75" customHeight="1" x14ac:dyDescent="0.3">
      <c r="H324" s="48"/>
    </row>
    <row r="325" spans="8:8" ht="12.75" customHeight="1" x14ac:dyDescent="0.3">
      <c r="H325" s="48"/>
    </row>
    <row r="326" spans="8:8" ht="12.75" customHeight="1" x14ac:dyDescent="0.3">
      <c r="H326" s="48"/>
    </row>
    <row r="327" spans="8:8" ht="12.75" customHeight="1" x14ac:dyDescent="0.3">
      <c r="H327" s="48"/>
    </row>
    <row r="328" spans="8:8" ht="12.75" customHeight="1" x14ac:dyDescent="0.3">
      <c r="H328" s="48"/>
    </row>
    <row r="329" spans="8:8" ht="12.75" customHeight="1" x14ac:dyDescent="0.3">
      <c r="H329" s="48"/>
    </row>
    <row r="330" spans="8:8" ht="12.75" customHeight="1" x14ac:dyDescent="0.3">
      <c r="H330" s="48"/>
    </row>
    <row r="331" spans="8:8" ht="12.75" customHeight="1" x14ac:dyDescent="0.3">
      <c r="H331" s="48"/>
    </row>
    <row r="332" spans="8:8" ht="12.75" customHeight="1" x14ac:dyDescent="0.3">
      <c r="H332" s="48"/>
    </row>
    <row r="333" spans="8:8" ht="12.75" customHeight="1" x14ac:dyDescent="0.3">
      <c r="H333" s="48"/>
    </row>
    <row r="334" spans="8:8" ht="12.75" customHeight="1" x14ac:dyDescent="0.3">
      <c r="H334" s="48"/>
    </row>
    <row r="335" spans="8:8" ht="12.75" customHeight="1" x14ac:dyDescent="0.3">
      <c r="H335" s="48"/>
    </row>
    <row r="336" spans="8:8" ht="12.75" customHeight="1" x14ac:dyDescent="0.3">
      <c r="H336" s="48"/>
    </row>
    <row r="337" spans="8:8" ht="12.75" customHeight="1" x14ac:dyDescent="0.3">
      <c r="H337" s="48"/>
    </row>
    <row r="338" spans="8:8" ht="12.75" customHeight="1" x14ac:dyDescent="0.3">
      <c r="H338" s="48"/>
    </row>
    <row r="339" spans="8:8" ht="12.75" customHeight="1" x14ac:dyDescent="0.3">
      <c r="H339" s="48"/>
    </row>
    <row r="340" spans="8:8" ht="12.75" customHeight="1" x14ac:dyDescent="0.3">
      <c r="H340" s="48"/>
    </row>
    <row r="341" spans="8:8" ht="12.75" customHeight="1" x14ac:dyDescent="0.3">
      <c r="H341" s="48"/>
    </row>
    <row r="342" spans="8:8" ht="12.75" customHeight="1" x14ac:dyDescent="0.3">
      <c r="H342" s="48"/>
    </row>
    <row r="343" spans="8:8" ht="12.75" customHeight="1" x14ac:dyDescent="0.3">
      <c r="H343" s="48"/>
    </row>
    <row r="344" spans="8:8" ht="12.75" customHeight="1" x14ac:dyDescent="0.3">
      <c r="H344" s="48"/>
    </row>
    <row r="345" spans="8:8" ht="12.75" customHeight="1" x14ac:dyDescent="0.3">
      <c r="H345" s="48"/>
    </row>
    <row r="346" spans="8:8" ht="12.75" customHeight="1" x14ac:dyDescent="0.3">
      <c r="H346" s="48"/>
    </row>
    <row r="347" spans="8:8" ht="12.75" customHeight="1" x14ac:dyDescent="0.3">
      <c r="H347" s="48"/>
    </row>
    <row r="348" spans="8:8" ht="12.75" customHeight="1" x14ac:dyDescent="0.3">
      <c r="H348" s="48"/>
    </row>
    <row r="349" spans="8:8" ht="12.75" customHeight="1" x14ac:dyDescent="0.3">
      <c r="H349" s="48"/>
    </row>
    <row r="350" spans="8:8" ht="12.75" customHeight="1" x14ac:dyDescent="0.3">
      <c r="H350" s="48"/>
    </row>
    <row r="351" spans="8:8" ht="12.75" customHeight="1" x14ac:dyDescent="0.3">
      <c r="H351" s="48"/>
    </row>
    <row r="352" spans="8:8" ht="12.75" customHeight="1" x14ac:dyDescent="0.3">
      <c r="H352" s="48"/>
    </row>
    <row r="353" spans="8:8" ht="12.75" customHeight="1" x14ac:dyDescent="0.3">
      <c r="H353" s="48"/>
    </row>
    <row r="354" spans="8:8" ht="12.75" customHeight="1" x14ac:dyDescent="0.3">
      <c r="H354" s="48"/>
    </row>
    <row r="355" spans="8:8" ht="12.75" customHeight="1" x14ac:dyDescent="0.3">
      <c r="H355" s="48"/>
    </row>
    <row r="356" spans="8:8" ht="12.75" customHeight="1" x14ac:dyDescent="0.3">
      <c r="H356" s="48"/>
    </row>
    <row r="357" spans="8:8" ht="12.75" customHeight="1" x14ac:dyDescent="0.3">
      <c r="H357" s="48"/>
    </row>
    <row r="358" spans="8:8" ht="12.75" customHeight="1" x14ac:dyDescent="0.3">
      <c r="H358" s="48"/>
    </row>
    <row r="359" spans="8:8" ht="12.75" customHeight="1" x14ac:dyDescent="0.3">
      <c r="H359" s="48"/>
    </row>
    <row r="360" spans="8:8" ht="12.75" customHeight="1" x14ac:dyDescent="0.3">
      <c r="H360" s="48"/>
    </row>
    <row r="361" spans="8:8" ht="12.75" customHeight="1" x14ac:dyDescent="0.3">
      <c r="H361" s="48"/>
    </row>
    <row r="362" spans="8:8" ht="12.75" customHeight="1" x14ac:dyDescent="0.3">
      <c r="H362" s="48"/>
    </row>
    <row r="363" spans="8:8" ht="12.75" customHeight="1" x14ac:dyDescent="0.3">
      <c r="H363" s="48"/>
    </row>
    <row r="364" spans="8:8" ht="12.75" customHeight="1" x14ac:dyDescent="0.3">
      <c r="H364" s="48"/>
    </row>
    <row r="365" spans="8:8" ht="12.75" customHeight="1" x14ac:dyDescent="0.3">
      <c r="H365" s="48"/>
    </row>
    <row r="366" spans="8:8" ht="12.75" customHeight="1" x14ac:dyDescent="0.3">
      <c r="H366" s="48"/>
    </row>
    <row r="367" spans="8:8" ht="12.75" customHeight="1" x14ac:dyDescent="0.3">
      <c r="H367" s="48"/>
    </row>
    <row r="368" spans="8:8" ht="12.75" customHeight="1" x14ac:dyDescent="0.3">
      <c r="H368" s="48"/>
    </row>
    <row r="369" spans="8:8" ht="12.75" customHeight="1" x14ac:dyDescent="0.3">
      <c r="H369" s="48"/>
    </row>
    <row r="370" spans="8:8" ht="12.75" customHeight="1" x14ac:dyDescent="0.3">
      <c r="H370" s="48"/>
    </row>
    <row r="371" spans="8:8" ht="12.75" customHeight="1" x14ac:dyDescent="0.3">
      <c r="H371" s="48"/>
    </row>
    <row r="372" spans="8:8" ht="12.75" customHeight="1" x14ac:dyDescent="0.3">
      <c r="H372" s="48"/>
    </row>
    <row r="373" spans="8:8" ht="12.75" customHeight="1" x14ac:dyDescent="0.3">
      <c r="H373" s="48"/>
    </row>
    <row r="374" spans="8:8" ht="12.75" customHeight="1" x14ac:dyDescent="0.3">
      <c r="H374" s="48"/>
    </row>
    <row r="375" spans="8:8" ht="12.75" customHeight="1" x14ac:dyDescent="0.3">
      <c r="H375" s="48"/>
    </row>
    <row r="376" spans="8:8" ht="12.75" customHeight="1" x14ac:dyDescent="0.3">
      <c r="H376" s="48"/>
    </row>
    <row r="377" spans="8:8" ht="12.75" customHeight="1" x14ac:dyDescent="0.3">
      <c r="H377" s="48"/>
    </row>
    <row r="378" spans="8:8" ht="12.75" customHeight="1" x14ac:dyDescent="0.3">
      <c r="H378" s="48"/>
    </row>
    <row r="379" spans="8:8" ht="12.75" customHeight="1" x14ac:dyDescent="0.3">
      <c r="H379" s="48"/>
    </row>
    <row r="380" spans="8:8" ht="12.75" customHeight="1" x14ac:dyDescent="0.3">
      <c r="H380" s="48"/>
    </row>
    <row r="381" spans="8:8" ht="12.75" customHeight="1" x14ac:dyDescent="0.3">
      <c r="H381" s="48"/>
    </row>
    <row r="382" spans="8:8" ht="12.75" customHeight="1" x14ac:dyDescent="0.3">
      <c r="H382" s="48"/>
    </row>
    <row r="383" spans="8:8" ht="12.75" customHeight="1" x14ac:dyDescent="0.3">
      <c r="H383" s="48"/>
    </row>
    <row r="384" spans="8:8" ht="12.75" customHeight="1" x14ac:dyDescent="0.3">
      <c r="H384" s="48"/>
    </row>
    <row r="385" spans="8:8" ht="12.75" customHeight="1" x14ac:dyDescent="0.3">
      <c r="H385" s="48"/>
    </row>
    <row r="386" spans="8:8" ht="12.75" customHeight="1" x14ac:dyDescent="0.3">
      <c r="H386" s="48"/>
    </row>
    <row r="387" spans="8:8" ht="12.75" customHeight="1" x14ac:dyDescent="0.3">
      <c r="H387" s="48"/>
    </row>
    <row r="388" spans="8:8" ht="12.75" customHeight="1" x14ac:dyDescent="0.3">
      <c r="H388" s="48"/>
    </row>
    <row r="389" spans="8:8" ht="12.75" customHeight="1" x14ac:dyDescent="0.3">
      <c r="H389" s="48"/>
    </row>
    <row r="390" spans="8:8" ht="12.75" customHeight="1" x14ac:dyDescent="0.3">
      <c r="H390" s="48"/>
    </row>
    <row r="391" spans="8:8" ht="12.75" customHeight="1" x14ac:dyDescent="0.3">
      <c r="H391" s="48"/>
    </row>
    <row r="392" spans="8:8" ht="12.75" customHeight="1" x14ac:dyDescent="0.3">
      <c r="H392" s="48"/>
    </row>
    <row r="393" spans="8:8" ht="12.75" customHeight="1" x14ac:dyDescent="0.3">
      <c r="H393" s="48"/>
    </row>
    <row r="394" spans="8:8" ht="12.75" customHeight="1" x14ac:dyDescent="0.3">
      <c r="H394" s="48"/>
    </row>
    <row r="395" spans="8:8" ht="12.75" customHeight="1" x14ac:dyDescent="0.3">
      <c r="H395" s="48"/>
    </row>
    <row r="396" spans="8:8" ht="12.75" customHeight="1" x14ac:dyDescent="0.3">
      <c r="H396" s="48"/>
    </row>
    <row r="397" spans="8:8" ht="12.75" customHeight="1" x14ac:dyDescent="0.3">
      <c r="H397" s="48"/>
    </row>
    <row r="398" spans="8:8" ht="12.75" customHeight="1" x14ac:dyDescent="0.3">
      <c r="H398" s="48"/>
    </row>
    <row r="399" spans="8:8" ht="12.75" customHeight="1" x14ac:dyDescent="0.3">
      <c r="H399" s="48"/>
    </row>
    <row r="400" spans="8:8" ht="12.75" customHeight="1" x14ac:dyDescent="0.3">
      <c r="H400" s="48"/>
    </row>
    <row r="401" spans="8:8" ht="12.75" customHeight="1" x14ac:dyDescent="0.3">
      <c r="H401" s="48"/>
    </row>
    <row r="402" spans="8:8" ht="12.75" customHeight="1" x14ac:dyDescent="0.3">
      <c r="H402" s="48"/>
    </row>
    <row r="403" spans="8:8" ht="12.75" customHeight="1" x14ac:dyDescent="0.3">
      <c r="H403" s="48"/>
    </row>
    <row r="404" spans="8:8" ht="12.75" customHeight="1" x14ac:dyDescent="0.3">
      <c r="H404" s="48"/>
    </row>
    <row r="405" spans="8:8" ht="12.75" customHeight="1" x14ac:dyDescent="0.3">
      <c r="H405" s="48"/>
    </row>
    <row r="406" spans="8:8" ht="12.75" customHeight="1" x14ac:dyDescent="0.3">
      <c r="H406" s="48"/>
    </row>
    <row r="407" spans="8:8" ht="12.75" customHeight="1" x14ac:dyDescent="0.3">
      <c r="H407" s="48"/>
    </row>
    <row r="408" spans="8:8" ht="12.75" customHeight="1" x14ac:dyDescent="0.3">
      <c r="H408" s="48"/>
    </row>
    <row r="409" spans="8:8" ht="12.75" customHeight="1" x14ac:dyDescent="0.3">
      <c r="H409" s="48"/>
    </row>
    <row r="410" spans="8:8" ht="12.75" customHeight="1" x14ac:dyDescent="0.3">
      <c r="H410" s="48"/>
    </row>
    <row r="411" spans="8:8" ht="12.75" customHeight="1" x14ac:dyDescent="0.3">
      <c r="H411" s="48"/>
    </row>
    <row r="412" spans="8:8" ht="12.75" customHeight="1" x14ac:dyDescent="0.3">
      <c r="H412" s="48"/>
    </row>
    <row r="413" spans="8:8" ht="12.75" customHeight="1" x14ac:dyDescent="0.3">
      <c r="H413" s="48"/>
    </row>
    <row r="414" spans="8:8" ht="12.75" customHeight="1" x14ac:dyDescent="0.3">
      <c r="H414" s="48"/>
    </row>
    <row r="415" spans="8:8" ht="12.75" customHeight="1" x14ac:dyDescent="0.3">
      <c r="H415" s="48"/>
    </row>
    <row r="416" spans="8:8" ht="12.75" customHeight="1" x14ac:dyDescent="0.3">
      <c r="H416" s="48"/>
    </row>
    <row r="417" spans="8:8" ht="12.75" customHeight="1" x14ac:dyDescent="0.3">
      <c r="H417" s="48"/>
    </row>
    <row r="418" spans="8:8" ht="12.75" customHeight="1" x14ac:dyDescent="0.3">
      <c r="H418" s="48"/>
    </row>
    <row r="419" spans="8:8" ht="12.75" customHeight="1" x14ac:dyDescent="0.3">
      <c r="H419" s="48"/>
    </row>
    <row r="420" spans="8:8" ht="12.75" customHeight="1" x14ac:dyDescent="0.3">
      <c r="H420" s="48"/>
    </row>
    <row r="421" spans="8:8" ht="12.75" customHeight="1" x14ac:dyDescent="0.3">
      <c r="H421" s="48"/>
    </row>
    <row r="422" spans="8:8" ht="12.75" customHeight="1" x14ac:dyDescent="0.3">
      <c r="H422" s="48"/>
    </row>
    <row r="423" spans="8:8" ht="12.75" customHeight="1" x14ac:dyDescent="0.3">
      <c r="H423" s="48"/>
    </row>
    <row r="424" spans="8:8" ht="12.75" customHeight="1" x14ac:dyDescent="0.3">
      <c r="H424" s="48"/>
    </row>
    <row r="425" spans="8:8" ht="12.75" customHeight="1" x14ac:dyDescent="0.3">
      <c r="H425" s="48"/>
    </row>
    <row r="426" spans="8:8" ht="12.75" customHeight="1" x14ac:dyDescent="0.3">
      <c r="H426" s="48"/>
    </row>
    <row r="427" spans="8:8" ht="12.75" customHeight="1" x14ac:dyDescent="0.3">
      <c r="H427" s="48"/>
    </row>
    <row r="428" spans="8:8" ht="12.75" customHeight="1" x14ac:dyDescent="0.3">
      <c r="H428" s="48"/>
    </row>
    <row r="429" spans="8:8" ht="12.75" customHeight="1" x14ac:dyDescent="0.3">
      <c r="H429" s="48"/>
    </row>
    <row r="430" spans="8:8" ht="12.75" customHeight="1" x14ac:dyDescent="0.3">
      <c r="H430" s="48"/>
    </row>
    <row r="431" spans="8:8" ht="12.75" customHeight="1" x14ac:dyDescent="0.3">
      <c r="H431" s="48"/>
    </row>
    <row r="432" spans="8:8" ht="12.75" customHeight="1" x14ac:dyDescent="0.3">
      <c r="H432" s="48"/>
    </row>
    <row r="433" spans="8:8" ht="12.75" customHeight="1" x14ac:dyDescent="0.3">
      <c r="H433" s="48"/>
    </row>
    <row r="434" spans="8:8" ht="12.75" customHeight="1" x14ac:dyDescent="0.3">
      <c r="H434" s="48"/>
    </row>
    <row r="435" spans="8:8" ht="12.75" customHeight="1" x14ac:dyDescent="0.3">
      <c r="H435" s="48"/>
    </row>
    <row r="436" spans="8:8" ht="12.75" customHeight="1" x14ac:dyDescent="0.3">
      <c r="H436" s="48"/>
    </row>
    <row r="437" spans="8:8" ht="12.75" customHeight="1" x14ac:dyDescent="0.3">
      <c r="H437" s="48"/>
    </row>
    <row r="438" spans="8:8" ht="12.75" customHeight="1" x14ac:dyDescent="0.3">
      <c r="H438" s="48"/>
    </row>
    <row r="439" spans="8:8" ht="12.75" customHeight="1" x14ac:dyDescent="0.3">
      <c r="H439" s="48"/>
    </row>
    <row r="440" spans="8:8" ht="12.75" customHeight="1" x14ac:dyDescent="0.3">
      <c r="H440" s="48"/>
    </row>
    <row r="441" spans="8:8" ht="12.75" customHeight="1" x14ac:dyDescent="0.3">
      <c r="H441" s="48"/>
    </row>
    <row r="442" spans="8:8" ht="12.75" customHeight="1" x14ac:dyDescent="0.3">
      <c r="H442" s="48"/>
    </row>
    <row r="443" spans="8:8" ht="12.75" customHeight="1" x14ac:dyDescent="0.3">
      <c r="H443" s="48"/>
    </row>
    <row r="444" spans="8:8" ht="12.75" customHeight="1" x14ac:dyDescent="0.3">
      <c r="H444" s="48"/>
    </row>
    <row r="445" spans="8:8" ht="12.75" customHeight="1" x14ac:dyDescent="0.3">
      <c r="H445" s="48"/>
    </row>
    <row r="446" spans="8:8" ht="12.75" customHeight="1" x14ac:dyDescent="0.3">
      <c r="H446" s="48"/>
    </row>
    <row r="447" spans="8:8" ht="12.75" customHeight="1" x14ac:dyDescent="0.3">
      <c r="H447" s="48"/>
    </row>
    <row r="448" spans="8:8" ht="12.75" customHeight="1" x14ac:dyDescent="0.3">
      <c r="H448" s="48"/>
    </row>
    <row r="449" spans="8:8" ht="12.75" customHeight="1" x14ac:dyDescent="0.3">
      <c r="H449" s="48"/>
    </row>
    <row r="450" spans="8:8" ht="12.75" customHeight="1" x14ac:dyDescent="0.3">
      <c r="H450" s="48"/>
    </row>
    <row r="451" spans="8:8" ht="12.75" customHeight="1" x14ac:dyDescent="0.3">
      <c r="H451" s="48"/>
    </row>
    <row r="452" spans="8:8" ht="12.75" customHeight="1" x14ac:dyDescent="0.3">
      <c r="H452" s="48"/>
    </row>
    <row r="453" spans="8:8" ht="12.75" customHeight="1" x14ac:dyDescent="0.3">
      <c r="H453" s="48"/>
    </row>
    <row r="454" spans="8:8" ht="12.75" customHeight="1" x14ac:dyDescent="0.3">
      <c r="H454" s="48"/>
    </row>
    <row r="455" spans="8:8" ht="12.75" customHeight="1" x14ac:dyDescent="0.3">
      <c r="H455" s="48"/>
    </row>
    <row r="456" spans="8:8" ht="12.75" customHeight="1" x14ac:dyDescent="0.3">
      <c r="H456" s="48"/>
    </row>
    <row r="457" spans="8:8" ht="12.75" customHeight="1" x14ac:dyDescent="0.3">
      <c r="H457" s="48"/>
    </row>
    <row r="458" spans="8:8" ht="12.75" customHeight="1" x14ac:dyDescent="0.3">
      <c r="H458" s="48"/>
    </row>
    <row r="459" spans="8:8" ht="12.75" customHeight="1" x14ac:dyDescent="0.3">
      <c r="H459" s="48"/>
    </row>
    <row r="460" spans="8:8" ht="12.75" customHeight="1" x14ac:dyDescent="0.3">
      <c r="H460" s="48"/>
    </row>
    <row r="461" spans="8:8" ht="12.75" customHeight="1" x14ac:dyDescent="0.3">
      <c r="H461" s="48"/>
    </row>
    <row r="462" spans="8:8" ht="12.75" customHeight="1" x14ac:dyDescent="0.3">
      <c r="H462" s="48"/>
    </row>
    <row r="463" spans="8:8" ht="12.75" customHeight="1" x14ac:dyDescent="0.3">
      <c r="H463" s="48"/>
    </row>
    <row r="464" spans="8:8" ht="12.75" customHeight="1" x14ac:dyDescent="0.3">
      <c r="H464" s="48"/>
    </row>
    <row r="465" spans="8:8" ht="12.75" customHeight="1" x14ac:dyDescent="0.3">
      <c r="H465" s="48"/>
    </row>
    <row r="466" spans="8:8" ht="12.75" customHeight="1" x14ac:dyDescent="0.3">
      <c r="H466" s="48"/>
    </row>
    <row r="467" spans="8:8" ht="12.75" customHeight="1" x14ac:dyDescent="0.3">
      <c r="H467" s="48"/>
    </row>
    <row r="468" spans="8:8" ht="12.75" customHeight="1" x14ac:dyDescent="0.3">
      <c r="H468" s="48"/>
    </row>
    <row r="469" spans="8:8" ht="12.75" customHeight="1" x14ac:dyDescent="0.3">
      <c r="H469" s="48"/>
    </row>
    <row r="470" spans="8:8" ht="12.75" customHeight="1" x14ac:dyDescent="0.3">
      <c r="H470" s="48"/>
    </row>
    <row r="471" spans="8:8" ht="12.75" customHeight="1" x14ac:dyDescent="0.3">
      <c r="H471" s="48"/>
    </row>
    <row r="472" spans="8:8" ht="12.75" customHeight="1" x14ac:dyDescent="0.3">
      <c r="H472" s="48"/>
    </row>
    <row r="473" spans="8:8" ht="12.75" customHeight="1" x14ac:dyDescent="0.3">
      <c r="H473" s="48"/>
    </row>
    <row r="474" spans="8:8" ht="12.75" customHeight="1" x14ac:dyDescent="0.3">
      <c r="H474" s="48"/>
    </row>
    <row r="475" spans="8:8" ht="12.75" customHeight="1" x14ac:dyDescent="0.3">
      <c r="H475" s="48"/>
    </row>
    <row r="476" spans="8:8" ht="12.75" customHeight="1" x14ac:dyDescent="0.3">
      <c r="H476" s="48"/>
    </row>
    <row r="477" spans="8:8" ht="12.75" customHeight="1" x14ac:dyDescent="0.3">
      <c r="H477" s="48"/>
    </row>
    <row r="478" spans="8:8" ht="12.75" customHeight="1" x14ac:dyDescent="0.3">
      <c r="H478" s="48"/>
    </row>
    <row r="479" spans="8:8" ht="12.75" customHeight="1" x14ac:dyDescent="0.3">
      <c r="H479" s="48"/>
    </row>
    <row r="480" spans="8:8" ht="12.75" customHeight="1" x14ac:dyDescent="0.3">
      <c r="H480" s="48"/>
    </row>
    <row r="481" spans="8:8" ht="12.75" customHeight="1" x14ac:dyDescent="0.3">
      <c r="H481" s="48"/>
    </row>
    <row r="482" spans="8:8" ht="12.75" customHeight="1" x14ac:dyDescent="0.3">
      <c r="H482" s="48"/>
    </row>
    <row r="483" spans="8:8" ht="12.75" customHeight="1" x14ac:dyDescent="0.3">
      <c r="H483" s="48"/>
    </row>
    <row r="484" spans="8:8" ht="12.75" customHeight="1" x14ac:dyDescent="0.3">
      <c r="H484" s="48"/>
    </row>
    <row r="485" spans="8:8" ht="12.75" customHeight="1" x14ac:dyDescent="0.3">
      <c r="H485" s="48"/>
    </row>
    <row r="486" spans="8:8" ht="12.75" customHeight="1" x14ac:dyDescent="0.3">
      <c r="H486" s="48"/>
    </row>
    <row r="487" spans="8:8" ht="12.75" customHeight="1" x14ac:dyDescent="0.3">
      <c r="H487" s="48"/>
    </row>
    <row r="488" spans="8:8" ht="12.75" customHeight="1" x14ac:dyDescent="0.3">
      <c r="H488" s="48"/>
    </row>
    <row r="489" spans="8:8" ht="12.75" customHeight="1" x14ac:dyDescent="0.3">
      <c r="H489" s="48"/>
    </row>
    <row r="490" spans="8:8" ht="12.75" customHeight="1" x14ac:dyDescent="0.3">
      <c r="H490" s="48"/>
    </row>
    <row r="491" spans="8:8" ht="12.75" customHeight="1" x14ac:dyDescent="0.3">
      <c r="H491" s="48"/>
    </row>
    <row r="492" spans="8:8" ht="12.75" customHeight="1" x14ac:dyDescent="0.3">
      <c r="H492" s="48"/>
    </row>
    <row r="493" spans="8:8" ht="12.75" customHeight="1" x14ac:dyDescent="0.3">
      <c r="H493" s="48"/>
    </row>
    <row r="494" spans="8:8" ht="12.75" customHeight="1" x14ac:dyDescent="0.3">
      <c r="H494" s="48"/>
    </row>
    <row r="495" spans="8:8" ht="12.75" customHeight="1" x14ac:dyDescent="0.3">
      <c r="H495" s="48"/>
    </row>
    <row r="496" spans="8:8" ht="12.75" customHeight="1" x14ac:dyDescent="0.3">
      <c r="H496" s="48"/>
    </row>
    <row r="497" spans="8:8" ht="12.75" customHeight="1" x14ac:dyDescent="0.3">
      <c r="H497" s="48"/>
    </row>
    <row r="498" spans="8:8" ht="12.75" customHeight="1" x14ac:dyDescent="0.3">
      <c r="H498" s="48"/>
    </row>
    <row r="499" spans="8:8" ht="12.75" customHeight="1" x14ac:dyDescent="0.3">
      <c r="H499" s="48"/>
    </row>
    <row r="500" spans="8:8" ht="12.75" customHeight="1" x14ac:dyDescent="0.3">
      <c r="H500" s="48"/>
    </row>
    <row r="501" spans="8:8" ht="12.75" customHeight="1" x14ac:dyDescent="0.3">
      <c r="H501" s="48"/>
    </row>
    <row r="502" spans="8:8" ht="12.75" customHeight="1" x14ac:dyDescent="0.3">
      <c r="H502" s="48"/>
    </row>
    <row r="503" spans="8:8" ht="12.75" customHeight="1" x14ac:dyDescent="0.3">
      <c r="H503" s="48"/>
    </row>
    <row r="504" spans="8:8" ht="12.75" customHeight="1" x14ac:dyDescent="0.3">
      <c r="H504" s="48"/>
    </row>
    <row r="505" spans="8:8" ht="12.75" customHeight="1" x14ac:dyDescent="0.3">
      <c r="H505" s="48"/>
    </row>
    <row r="506" spans="8:8" ht="12.75" customHeight="1" x14ac:dyDescent="0.3">
      <c r="H506" s="48"/>
    </row>
    <row r="507" spans="8:8" ht="12.75" customHeight="1" x14ac:dyDescent="0.3">
      <c r="H507" s="48"/>
    </row>
    <row r="508" spans="8:8" ht="12.75" customHeight="1" x14ac:dyDescent="0.3">
      <c r="H508" s="48"/>
    </row>
    <row r="509" spans="8:8" ht="12.75" customHeight="1" x14ac:dyDescent="0.3">
      <c r="H509" s="48"/>
    </row>
    <row r="510" spans="8:8" ht="12.75" customHeight="1" x14ac:dyDescent="0.3">
      <c r="H510" s="48"/>
    </row>
    <row r="511" spans="8:8" ht="12.75" customHeight="1" x14ac:dyDescent="0.3">
      <c r="H511" s="48"/>
    </row>
    <row r="512" spans="8:8" ht="12.75" customHeight="1" x14ac:dyDescent="0.3">
      <c r="H512" s="48"/>
    </row>
    <row r="513" spans="8:8" ht="12.75" customHeight="1" x14ac:dyDescent="0.3">
      <c r="H513" s="48"/>
    </row>
    <row r="514" spans="8:8" ht="12.75" customHeight="1" x14ac:dyDescent="0.3">
      <c r="H514" s="48"/>
    </row>
    <row r="515" spans="8:8" ht="12.75" customHeight="1" x14ac:dyDescent="0.3">
      <c r="H515" s="48"/>
    </row>
    <row r="516" spans="8:8" ht="12.75" customHeight="1" x14ac:dyDescent="0.3">
      <c r="H516" s="48"/>
    </row>
    <row r="517" spans="8:8" ht="12.75" customHeight="1" x14ac:dyDescent="0.3">
      <c r="H517" s="48"/>
    </row>
    <row r="518" spans="8:8" ht="12.75" customHeight="1" x14ac:dyDescent="0.3">
      <c r="H518" s="48"/>
    </row>
    <row r="519" spans="8:8" ht="12.75" customHeight="1" x14ac:dyDescent="0.3">
      <c r="H519" s="48"/>
    </row>
    <row r="520" spans="8:8" ht="12.75" customHeight="1" x14ac:dyDescent="0.3">
      <c r="H520" s="48"/>
    </row>
    <row r="521" spans="8:8" ht="12.75" customHeight="1" x14ac:dyDescent="0.3">
      <c r="H521" s="48"/>
    </row>
    <row r="522" spans="8:8" ht="12.75" customHeight="1" x14ac:dyDescent="0.3">
      <c r="H522" s="48"/>
    </row>
    <row r="523" spans="8:8" ht="12.75" customHeight="1" x14ac:dyDescent="0.3">
      <c r="H523" s="48"/>
    </row>
    <row r="524" spans="8:8" ht="12.75" customHeight="1" x14ac:dyDescent="0.3">
      <c r="H524" s="48"/>
    </row>
    <row r="525" spans="8:8" ht="12.75" customHeight="1" x14ac:dyDescent="0.3">
      <c r="H525" s="48"/>
    </row>
    <row r="526" spans="8:8" ht="12.75" customHeight="1" x14ac:dyDescent="0.3">
      <c r="H526" s="48"/>
    </row>
    <row r="527" spans="8:8" ht="12.75" customHeight="1" x14ac:dyDescent="0.3">
      <c r="H527" s="48"/>
    </row>
    <row r="528" spans="8:8" ht="12.75" customHeight="1" x14ac:dyDescent="0.3">
      <c r="H528" s="48"/>
    </row>
    <row r="529" spans="8:8" ht="12.75" customHeight="1" x14ac:dyDescent="0.3">
      <c r="H529" s="48"/>
    </row>
    <row r="530" spans="8:8" ht="12.75" customHeight="1" x14ac:dyDescent="0.3">
      <c r="H530" s="48"/>
    </row>
    <row r="531" spans="8:8" ht="12.75" customHeight="1" x14ac:dyDescent="0.3">
      <c r="H531" s="48"/>
    </row>
    <row r="532" spans="8:8" ht="12.75" customHeight="1" x14ac:dyDescent="0.3">
      <c r="H532" s="48"/>
    </row>
    <row r="533" spans="8:8" ht="12.75" customHeight="1" x14ac:dyDescent="0.3">
      <c r="H533" s="48"/>
    </row>
    <row r="534" spans="8:8" ht="12.75" customHeight="1" x14ac:dyDescent="0.3">
      <c r="H534" s="48"/>
    </row>
    <row r="535" spans="8:8" ht="12.75" customHeight="1" x14ac:dyDescent="0.3">
      <c r="H535" s="48"/>
    </row>
    <row r="536" spans="8:8" ht="12.75" customHeight="1" x14ac:dyDescent="0.3">
      <c r="H536" s="48"/>
    </row>
    <row r="537" spans="8:8" ht="12.75" customHeight="1" x14ac:dyDescent="0.3">
      <c r="H537" s="48"/>
    </row>
    <row r="538" spans="8:8" ht="12.75" customHeight="1" x14ac:dyDescent="0.3">
      <c r="H538" s="48"/>
    </row>
    <row r="539" spans="8:8" ht="12.75" customHeight="1" x14ac:dyDescent="0.3">
      <c r="H539" s="48"/>
    </row>
    <row r="540" spans="8:8" ht="12.75" customHeight="1" x14ac:dyDescent="0.3">
      <c r="H540" s="48"/>
    </row>
    <row r="541" spans="8:8" ht="12.75" customHeight="1" x14ac:dyDescent="0.3">
      <c r="H541" s="48"/>
    </row>
    <row r="542" spans="8:8" ht="12.75" customHeight="1" x14ac:dyDescent="0.3">
      <c r="H542" s="48"/>
    </row>
    <row r="543" spans="8:8" ht="12.75" customHeight="1" x14ac:dyDescent="0.3">
      <c r="H543" s="48"/>
    </row>
    <row r="544" spans="8:8" ht="12.75" customHeight="1" x14ac:dyDescent="0.3">
      <c r="H544" s="48"/>
    </row>
    <row r="545" spans="8:8" ht="12.75" customHeight="1" x14ac:dyDescent="0.3">
      <c r="H545" s="48"/>
    </row>
    <row r="546" spans="8:8" ht="12.75" customHeight="1" x14ac:dyDescent="0.3">
      <c r="H546" s="48"/>
    </row>
    <row r="547" spans="8:8" ht="12.75" customHeight="1" x14ac:dyDescent="0.3">
      <c r="H547" s="48"/>
    </row>
    <row r="548" spans="8:8" ht="12.75" customHeight="1" x14ac:dyDescent="0.3">
      <c r="H548" s="48"/>
    </row>
    <row r="549" spans="8:8" ht="12.75" customHeight="1" x14ac:dyDescent="0.3">
      <c r="H549" s="48"/>
    </row>
    <row r="550" spans="8:8" ht="12.75" customHeight="1" x14ac:dyDescent="0.3">
      <c r="H550" s="48"/>
    </row>
    <row r="551" spans="8:8" ht="12.75" customHeight="1" x14ac:dyDescent="0.3">
      <c r="H551" s="48"/>
    </row>
    <row r="552" spans="8:8" ht="12.75" customHeight="1" x14ac:dyDescent="0.3">
      <c r="H552" s="48"/>
    </row>
    <row r="553" spans="8:8" ht="12.75" customHeight="1" x14ac:dyDescent="0.3">
      <c r="H553" s="48"/>
    </row>
    <row r="554" spans="8:8" ht="12.75" customHeight="1" x14ac:dyDescent="0.3">
      <c r="H554" s="48"/>
    </row>
    <row r="555" spans="8:8" ht="12.75" customHeight="1" x14ac:dyDescent="0.3">
      <c r="H555" s="48"/>
    </row>
    <row r="556" spans="8:8" ht="12.75" customHeight="1" x14ac:dyDescent="0.3">
      <c r="H556" s="48"/>
    </row>
    <row r="557" spans="8:8" ht="12.75" customHeight="1" x14ac:dyDescent="0.3">
      <c r="H557" s="48"/>
    </row>
    <row r="558" spans="8:8" ht="12.75" customHeight="1" x14ac:dyDescent="0.3">
      <c r="H558" s="48"/>
    </row>
    <row r="559" spans="8:8" ht="12.75" customHeight="1" x14ac:dyDescent="0.3">
      <c r="H559" s="48"/>
    </row>
    <row r="560" spans="8:8" ht="12.75" customHeight="1" x14ac:dyDescent="0.3">
      <c r="H560" s="48"/>
    </row>
    <row r="561" spans="8:8" ht="12.75" customHeight="1" x14ac:dyDescent="0.3">
      <c r="H561" s="48"/>
    </row>
    <row r="562" spans="8:8" ht="12.75" customHeight="1" x14ac:dyDescent="0.3">
      <c r="H562" s="48"/>
    </row>
    <row r="563" spans="8:8" ht="12.75" customHeight="1" x14ac:dyDescent="0.3">
      <c r="H563" s="48"/>
    </row>
    <row r="564" spans="8:8" ht="12.75" customHeight="1" x14ac:dyDescent="0.3">
      <c r="H564" s="48"/>
    </row>
    <row r="565" spans="8:8" ht="12.75" customHeight="1" x14ac:dyDescent="0.3">
      <c r="H565" s="48"/>
    </row>
    <row r="566" spans="8:8" ht="12.75" customHeight="1" x14ac:dyDescent="0.3">
      <c r="H566" s="48"/>
    </row>
    <row r="567" spans="8:8" ht="12.75" customHeight="1" x14ac:dyDescent="0.3">
      <c r="H567" s="48"/>
    </row>
    <row r="568" spans="8:8" ht="12.75" customHeight="1" x14ac:dyDescent="0.3">
      <c r="H568" s="48"/>
    </row>
    <row r="569" spans="8:8" ht="12.75" customHeight="1" x14ac:dyDescent="0.3">
      <c r="H569" s="48"/>
    </row>
    <row r="570" spans="8:8" ht="12.75" customHeight="1" x14ac:dyDescent="0.3">
      <c r="H570" s="48"/>
    </row>
    <row r="571" spans="8:8" ht="12.75" customHeight="1" x14ac:dyDescent="0.3">
      <c r="H571" s="48"/>
    </row>
    <row r="572" spans="8:8" ht="12.75" customHeight="1" x14ac:dyDescent="0.3">
      <c r="H572" s="48"/>
    </row>
    <row r="573" spans="8:8" ht="12.75" customHeight="1" x14ac:dyDescent="0.3">
      <c r="H573" s="48"/>
    </row>
    <row r="574" spans="8:8" ht="12.75" customHeight="1" x14ac:dyDescent="0.3">
      <c r="H574" s="48"/>
    </row>
    <row r="575" spans="8:8" ht="12.75" customHeight="1" x14ac:dyDescent="0.3">
      <c r="H575" s="48"/>
    </row>
    <row r="576" spans="8:8" ht="12.75" customHeight="1" x14ac:dyDescent="0.3">
      <c r="H576" s="48"/>
    </row>
    <row r="577" spans="8:8" ht="12.75" customHeight="1" x14ac:dyDescent="0.3">
      <c r="H577" s="48"/>
    </row>
    <row r="578" spans="8:8" ht="12.75" customHeight="1" x14ac:dyDescent="0.3">
      <c r="H578" s="48"/>
    </row>
    <row r="579" spans="8:8" ht="12.75" customHeight="1" x14ac:dyDescent="0.3">
      <c r="H579" s="48"/>
    </row>
    <row r="580" spans="8:8" ht="12.75" customHeight="1" x14ac:dyDescent="0.3">
      <c r="H580" s="48"/>
    </row>
    <row r="581" spans="8:8" ht="12.75" customHeight="1" x14ac:dyDescent="0.3">
      <c r="H581" s="48"/>
    </row>
    <row r="582" spans="8:8" ht="12.75" customHeight="1" x14ac:dyDescent="0.3">
      <c r="H582" s="48"/>
    </row>
    <row r="583" spans="8:8" ht="12.75" customHeight="1" x14ac:dyDescent="0.3">
      <c r="H583" s="48"/>
    </row>
    <row r="584" spans="8:8" ht="12.75" customHeight="1" x14ac:dyDescent="0.3">
      <c r="H584" s="48"/>
    </row>
    <row r="585" spans="8:8" ht="12.75" customHeight="1" x14ac:dyDescent="0.3">
      <c r="H585" s="48"/>
    </row>
    <row r="586" spans="8:8" ht="12.75" customHeight="1" x14ac:dyDescent="0.3">
      <c r="H586" s="48"/>
    </row>
    <row r="587" spans="8:8" ht="12.75" customHeight="1" x14ac:dyDescent="0.3">
      <c r="H587" s="48"/>
    </row>
    <row r="588" spans="8:8" ht="12.75" customHeight="1" x14ac:dyDescent="0.3">
      <c r="H588" s="48"/>
    </row>
    <row r="589" spans="8:8" ht="12.75" customHeight="1" x14ac:dyDescent="0.3">
      <c r="H589" s="48"/>
    </row>
    <row r="590" spans="8:8" ht="12.75" customHeight="1" x14ac:dyDescent="0.3">
      <c r="H590" s="48"/>
    </row>
    <row r="591" spans="8:8" ht="12.75" customHeight="1" x14ac:dyDescent="0.3">
      <c r="H591" s="48"/>
    </row>
    <row r="592" spans="8:8" ht="12.75" customHeight="1" x14ac:dyDescent="0.3">
      <c r="H592" s="48"/>
    </row>
    <row r="593" spans="8:8" ht="12.75" customHeight="1" x14ac:dyDescent="0.3">
      <c r="H593" s="48"/>
    </row>
    <row r="594" spans="8:8" ht="12.75" customHeight="1" x14ac:dyDescent="0.3">
      <c r="H594" s="48"/>
    </row>
    <row r="595" spans="8:8" ht="12.75" customHeight="1" x14ac:dyDescent="0.3">
      <c r="H595" s="48"/>
    </row>
    <row r="596" spans="8:8" ht="12.75" customHeight="1" x14ac:dyDescent="0.3">
      <c r="H596" s="48"/>
    </row>
    <row r="597" spans="8:8" ht="12.75" customHeight="1" x14ac:dyDescent="0.3">
      <c r="H597" s="48"/>
    </row>
    <row r="598" spans="8:8" ht="12.75" customHeight="1" x14ac:dyDescent="0.3">
      <c r="H598" s="48"/>
    </row>
    <row r="599" spans="8:8" ht="12.75" customHeight="1" x14ac:dyDescent="0.3">
      <c r="H599" s="48"/>
    </row>
    <row r="600" spans="8:8" ht="12.75" customHeight="1" x14ac:dyDescent="0.3">
      <c r="H600" s="48"/>
    </row>
    <row r="601" spans="8:8" ht="12.75" customHeight="1" x14ac:dyDescent="0.3">
      <c r="H601" s="48"/>
    </row>
    <row r="602" spans="8:8" ht="12.75" customHeight="1" x14ac:dyDescent="0.3">
      <c r="H602" s="48"/>
    </row>
    <row r="603" spans="8:8" ht="12.75" customHeight="1" x14ac:dyDescent="0.3">
      <c r="H603" s="48"/>
    </row>
    <row r="604" spans="8:8" ht="12.75" customHeight="1" x14ac:dyDescent="0.3">
      <c r="H604" s="48"/>
    </row>
    <row r="605" spans="8:8" ht="12.75" customHeight="1" x14ac:dyDescent="0.3">
      <c r="H605" s="48"/>
    </row>
    <row r="606" spans="8:8" ht="12.75" customHeight="1" x14ac:dyDescent="0.3">
      <c r="H606" s="48"/>
    </row>
    <row r="607" spans="8:8" ht="12.75" customHeight="1" x14ac:dyDescent="0.3">
      <c r="H607" s="48"/>
    </row>
    <row r="608" spans="8:8" ht="12.75" customHeight="1" x14ac:dyDescent="0.3">
      <c r="H608" s="48"/>
    </row>
    <row r="609" spans="8:8" ht="12.75" customHeight="1" x14ac:dyDescent="0.3">
      <c r="H609" s="48"/>
    </row>
    <row r="610" spans="8:8" ht="12.75" customHeight="1" x14ac:dyDescent="0.3">
      <c r="H610" s="48"/>
    </row>
    <row r="611" spans="8:8" ht="12.75" customHeight="1" x14ac:dyDescent="0.3">
      <c r="H611" s="48"/>
    </row>
    <row r="612" spans="8:8" ht="12.75" customHeight="1" x14ac:dyDescent="0.3">
      <c r="H612" s="48"/>
    </row>
    <row r="613" spans="8:8" ht="12.75" customHeight="1" x14ac:dyDescent="0.3">
      <c r="H613" s="48"/>
    </row>
    <row r="614" spans="8:8" ht="12.75" customHeight="1" x14ac:dyDescent="0.3">
      <c r="H614" s="48"/>
    </row>
    <row r="615" spans="8:8" ht="12.75" customHeight="1" x14ac:dyDescent="0.3">
      <c r="H615" s="48"/>
    </row>
    <row r="616" spans="8:8" ht="12.75" customHeight="1" x14ac:dyDescent="0.3">
      <c r="H616" s="48"/>
    </row>
    <row r="617" spans="8:8" ht="12.75" customHeight="1" x14ac:dyDescent="0.3">
      <c r="H617" s="48"/>
    </row>
    <row r="618" spans="8:8" ht="12.75" customHeight="1" x14ac:dyDescent="0.3">
      <c r="H618" s="48"/>
    </row>
    <row r="619" spans="8:8" ht="12.75" customHeight="1" x14ac:dyDescent="0.3">
      <c r="H619" s="48"/>
    </row>
    <row r="620" spans="8:8" ht="12.75" customHeight="1" x14ac:dyDescent="0.3">
      <c r="H620" s="48"/>
    </row>
    <row r="621" spans="8:8" ht="12.75" customHeight="1" x14ac:dyDescent="0.3">
      <c r="H621" s="48"/>
    </row>
    <row r="622" spans="8:8" ht="12.75" customHeight="1" x14ac:dyDescent="0.3">
      <c r="H622" s="48"/>
    </row>
    <row r="623" spans="8:8" ht="12.75" customHeight="1" x14ac:dyDescent="0.3">
      <c r="H623" s="48"/>
    </row>
    <row r="624" spans="8:8" ht="12.75" customHeight="1" x14ac:dyDescent="0.3">
      <c r="H624" s="48"/>
    </row>
    <row r="625" spans="8:8" ht="12.75" customHeight="1" x14ac:dyDescent="0.3">
      <c r="H625" s="48"/>
    </row>
    <row r="626" spans="8:8" ht="12.75" customHeight="1" x14ac:dyDescent="0.3">
      <c r="H626" s="48"/>
    </row>
    <row r="627" spans="8:8" ht="12.75" customHeight="1" x14ac:dyDescent="0.3">
      <c r="H627" s="48"/>
    </row>
    <row r="628" spans="8:8" ht="12.75" customHeight="1" x14ac:dyDescent="0.3">
      <c r="H628" s="48"/>
    </row>
    <row r="629" spans="8:8" ht="12.75" customHeight="1" x14ac:dyDescent="0.3">
      <c r="H629" s="48"/>
    </row>
    <row r="630" spans="8:8" ht="12.75" customHeight="1" x14ac:dyDescent="0.3">
      <c r="H630" s="48"/>
    </row>
    <row r="631" spans="8:8" ht="12.75" customHeight="1" x14ac:dyDescent="0.3">
      <c r="H631" s="48"/>
    </row>
    <row r="632" spans="8:8" ht="12.75" customHeight="1" x14ac:dyDescent="0.3">
      <c r="H632" s="48"/>
    </row>
    <row r="633" spans="8:8" ht="12.75" customHeight="1" x14ac:dyDescent="0.3">
      <c r="H633" s="48"/>
    </row>
    <row r="634" spans="8:8" ht="12.75" customHeight="1" x14ac:dyDescent="0.3">
      <c r="H634" s="48"/>
    </row>
    <row r="635" spans="8:8" ht="12.75" customHeight="1" x14ac:dyDescent="0.3">
      <c r="H635" s="48"/>
    </row>
    <row r="636" spans="8:8" ht="12.75" customHeight="1" x14ac:dyDescent="0.3">
      <c r="H636" s="48"/>
    </row>
    <row r="637" spans="8:8" ht="12.75" customHeight="1" x14ac:dyDescent="0.3">
      <c r="H637" s="48"/>
    </row>
    <row r="638" spans="8:8" ht="12.75" customHeight="1" x14ac:dyDescent="0.3">
      <c r="H638" s="48"/>
    </row>
    <row r="639" spans="8:8" ht="12.75" customHeight="1" x14ac:dyDescent="0.3">
      <c r="H639" s="48"/>
    </row>
    <row r="640" spans="8:8" ht="12.75" customHeight="1" x14ac:dyDescent="0.3">
      <c r="H640" s="48"/>
    </row>
    <row r="641" spans="8:8" ht="12.75" customHeight="1" x14ac:dyDescent="0.3">
      <c r="H641" s="48"/>
    </row>
    <row r="642" spans="8:8" ht="12.75" customHeight="1" x14ac:dyDescent="0.3">
      <c r="H642" s="48"/>
    </row>
    <row r="643" spans="8:8" ht="12.75" customHeight="1" x14ac:dyDescent="0.3">
      <c r="H643" s="48"/>
    </row>
    <row r="644" spans="8:8" ht="12.75" customHeight="1" x14ac:dyDescent="0.3">
      <c r="H644" s="48"/>
    </row>
    <row r="645" spans="8:8" ht="12.75" customHeight="1" x14ac:dyDescent="0.3">
      <c r="H645" s="48"/>
    </row>
    <row r="646" spans="8:8" ht="12.75" customHeight="1" x14ac:dyDescent="0.3">
      <c r="H646" s="48"/>
    </row>
    <row r="647" spans="8:8" ht="12.75" customHeight="1" x14ac:dyDescent="0.3">
      <c r="H647" s="48"/>
    </row>
    <row r="648" spans="8:8" ht="12.75" customHeight="1" x14ac:dyDescent="0.3">
      <c r="H648" s="48"/>
    </row>
    <row r="649" spans="8:8" ht="12.75" customHeight="1" x14ac:dyDescent="0.3">
      <c r="H649" s="48"/>
    </row>
    <row r="650" spans="8:8" ht="12.75" customHeight="1" x14ac:dyDescent="0.3">
      <c r="H650" s="48"/>
    </row>
    <row r="651" spans="8:8" ht="12.75" customHeight="1" x14ac:dyDescent="0.3">
      <c r="H651" s="48"/>
    </row>
    <row r="652" spans="8:8" ht="12.75" customHeight="1" x14ac:dyDescent="0.3">
      <c r="H652" s="48"/>
    </row>
    <row r="653" spans="8:8" ht="12.75" customHeight="1" x14ac:dyDescent="0.3">
      <c r="H653" s="48"/>
    </row>
    <row r="654" spans="8:8" ht="12.75" customHeight="1" x14ac:dyDescent="0.3">
      <c r="H654" s="48"/>
    </row>
    <row r="655" spans="8:8" ht="12.75" customHeight="1" x14ac:dyDescent="0.3">
      <c r="H655" s="48"/>
    </row>
    <row r="656" spans="8:8" ht="12.75" customHeight="1" x14ac:dyDescent="0.3">
      <c r="H656" s="48"/>
    </row>
    <row r="657" spans="8:8" ht="12.75" customHeight="1" x14ac:dyDescent="0.3">
      <c r="H657" s="48"/>
    </row>
    <row r="658" spans="8:8" ht="12.75" customHeight="1" x14ac:dyDescent="0.3">
      <c r="H658" s="48"/>
    </row>
    <row r="659" spans="8:8" ht="12.75" customHeight="1" x14ac:dyDescent="0.3">
      <c r="H659" s="48"/>
    </row>
    <row r="660" spans="8:8" ht="12.75" customHeight="1" x14ac:dyDescent="0.3">
      <c r="H660" s="48"/>
    </row>
    <row r="661" spans="8:8" ht="12.75" customHeight="1" x14ac:dyDescent="0.3">
      <c r="H661" s="48"/>
    </row>
    <row r="662" spans="8:8" ht="12.75" customHeight="1" x14ac:dyDescent="0.3">
      <c r="H662" s="48"/>
    </row>
    <row r="663" spans="8:8" ht="12.75" customHeight="1" x14ac:dyDescent="0.3">
      <c r="H663" s="48"/>
    </row>
    <row r="664" spans="8:8" ht="12.75" customHeight="1" x14ac:dyDescent="0.3">
      <c r="H664" s="48"/>
    </row>
    <row r="665" spans="8:8" ht="12.75" customHeight="1" x14ac:dyDescent="0.3">
      <c r="H665" s="48"/>
    </row>
    <row r="666" spans="8:8" ht="12.75" customHeight="1" x14ac:dyDescent="0.3">
      <c r="H666" s="48"/>
    </row>
    <row r="667" spans="8:8" ht="12.75" customHeight="1" x14ac:dyDescent="0.3">
      <c r="H667" s="48"/>
    </row>
    <row r="668" spans="8:8" ht="12.75" customHeight="1" x14ac:dyDescent="0.3">
      <c r="H668" s="48"/>
    </row>
    <row r="669" spans="8:8" ht="12.75" customHeight="1" x14ac:dyDescent="0.3">
      <c r="H669" s="48"/>
    </row>
    <row r="670" spans="8:8" ht="12.75" customHeight="1" x14ac:dyDescent="0.3">
      <c r="H670" s="48"/>
    </row>
    <row r="671" spans="8:8" ht="12.75" customHeight="1" x14ac:dyDescent="0.3">
      <c r="H671" s="48"/>
    </row>
    <row r="672" spans="8:8" ht="12.75" customHeight="1" x14ac:dyDescent="0.3">
      <c r="H672" s="48"/>
    </row>
    <row r="673" spans="8:8" ht="12.75" customHeight="1" x14ac:dyDescent="0.3">
      <c r="H673" s="48"/>
    </row>
    <row r="674" spans="8:8" ht="12.75" customHeight="1" x14ac:dyDescent="0.3">
      <c r="H674" s="48"/>
    </row>
    <row r="675" spans="8:8" ht="12.75" customHeight="1" x14ac:dyDescent="0.3">
      <c r="H675" s="48"/>
    </row>
    <row r="676" spans="8:8" ht="12.75" customHeight="1" x14ac:dyDescent="0.3">
      <c r="H676" s="48"/>
    </row>
    <row r="677" spans="8:8" ht="12.75" customHeight="1" x14ac:dyDescent="0.3">
      <c r="H677" s="48"/>
    </row>
    <row r="678" spans="8:8" ht="12.75" customHeight="1" x14ac:dyDescent="0.3">
      <c r="H678" s="48"/>
    </row>
    <row r="679" spans="8:8" ht="12.75" customHeight="1" x14ac:dyDescent="0.3">
      <c r="H679" s="48"/>
    </row>
    <row r="680" spans="8:8" ht="12.75" customHeight="1" x14ac:dyDescent="0.3">
      <c r="H680" s="48"/>
    </row>
    <row r="681" spans="8:8" ht="12.75" customHeight="1" x14ac:dyDescent="0.3">
      <c r="H681" s="48"/>
    </row>
    <row r="682" spans="8:8" ht="12.75" customHeight="1" x14ac:dyDescent="0.3">
      <c r="H682" s="48"/>
    </row>
    <row r="683" spans="8:8" ht="12.75" customHeight="1" x14ac:dyDescent="0.3">
      <c r="H683" s="48"/>
    </row>
    <row r="684" spans="8:8" ht="12.75" customHeight="1" x14ac:dyDescent="0.3">
      <c r="H684" s="48"/>
    </row>
    <row r="685" spans="8:8" ht="12.75" customHeight="1" x14ac:dyDescent="0.3">
      <c r="H685" s="48"/>
    </row>
    <row r="686" spans="8:8" ht="12.75" customHeight="1" x14ac:dyDescent="0.3">
      <c r="H686" s="48"/>
    </row>
    <row r="687" spans="8:8" ht="12.75" customHeight="1" x14ac:dyDescent="0.3">
      <c r="H687" s="48"/>
    </row>
    <row r="688" spans="8:8" ht="12.75" customHeight="1" x14ac:dyDescent="0.3">
      <c r="H688" s="48"/>
    </row>
    <row r="689" spans="8:8" ht="12.75" customHeight="1" x14ac:dyDescent="0.3">
      <c r="H689" s="48"/>
    </row>
    <row r="690" spans="8:8" ht="12.75" customHeight="1" x14ac:dyDescent="0.3">
      <c r="H690" s="48"/>
    </row>
    <row r="691" spans="8:8" ht="12.75" customHeight="1" x14ac:dyDescent="0.3">
      <c r="H691" s="48"/>
    </row>
    <row r="692" spans="8:8" ht="12.75" customHeight="1" x14ac:dyDescent="0.3">
      <c r="H692" s="48"/>
    </row>
    <row r="693" spans="8:8" ht="12.75" customHeight="1" x14ac:dyDescent="0.3">
      <c r="H693" s="48"/>
    </row>
    <row r="694" spans="8:8" ht="12.75" customHeight="1" x14ac:dyDescent="0.3">
      <c r="H694" s="48"/>
    </row>
    <row r="695" spans="8:8" ht="12.75" customHeight="1" x14ac:dyDescent="0.3">
      <c r="H695" s="48"/>
    </row>
    <row r="696" spans="8:8" ht="12.75" customHeight="1" x14ac:dyDescent="0.3">
      <c r="H696" s="48"/>
    </row>
    <row r="697" spans="8:8" ht="12.75" customHeight="1" x14ac:dyDescent="0.3">
      <c r="H697" s="48"/>
    </row>
    <row r="698" spans="8:8" ht="12.75" customHeight="1" x14ac:dyDescent="0.3">
      <c r="H698" s="48"/>
    </row>
    <row r="699" spans="8:8" ht="12.75" customHeight="1" x14ac:dyDescent="0.3">
      <c r="H699" s="48"/>
    </row>
    <row r="700" spans="8:8" ht="12.75" customHeight="1" x14ac:dyDescent="0.3">
      <c r="H700" s="48"/>
    </row>
    <row r="701" spans="8:8" ht="12.75" customHeight="1" x14ac:dyDescent="0.3">
      <c r="H701" s="48"/>
    </row>
    <row r="702" spans="8:8" ht="12.75" customHeight="1" x14ac:dyDescent="0.3">
      <c r="H702" s="48"/>
    </row>
    <row r="703" spans="8:8" ht="12.75" customHeight="1" x14ac:dyDescent="0.3">
      <c r="H703" s="48"/>
    </row>
    <row r="704" spans="8:8" ht="12.75" customHeight="1" x14ac:dyDescent="0.3">
      <c r="H704" s="48"/>
    </row>
    <row r="705" spans="8:8" ht="12.75" customHeight="1" x14ac:dyDescent="0.3">
      <c r="H705" s="48"/>
    </row>
    <row r="706" spans="8:8" ht="12.75" customHeight="1" x14ac:dyDescent="0.3">
      <c r="H706" s="48"/>
    </row>
    <row r="707" spans="8:8" ht="12.75" customHeight="1" x14ac:dyDescent="0.3">
      <c r="H707" s="48"/>
    </row>
    <row r="708" spans="8:8" ht="12.75" customHeight="1" x14ac:dyDescent="0.3">
      <c r="H708" s="48"/>
    </row>
    <row r="709" spans="8:8" ht="12.75" customHeight="1" x14ac:dyDescent="0.3">
      <c r="H709" s="48"/>
    </row>
    <row r="710" spans="8:8" ht="12.75" customHeight="1" x14ac:dyDescent="0.3">
      <c r="H710" s="48"/>
    </row>
    <row r="711" spans="8:8" ht="12.75" customHeight="1" x14ac:dyDescent="0.3">
      <c r="H711" s="48"/>
    </row>
    <row r="712" spans="8:8" ht="12.75" customHeight="1" x14ac:dyDescent="0.3">
      <c r="H712" s="48"/>
    </row>
    <row r="713" spans="8:8" ht="12.75" customHeight="1" x14ac:dyDescent="0.3">
      <c r="H713" s="48"/>
    </row>
    <row r="714" spans="8:8" ht="12.75" customHeight="1" x14ac:dyDescent="0.3">
      <c r="H714" s="48"/>
    </row>
    <row r="715" spans="8:8" ht="12.75" customHeight="1" x14ac:dyDescent="0.3">
      <c r="H715" s="48"/>
    </row>
    <row r="716" spans="8:8" ht="12.75" customHeight="1" x14ac:dyDescent="0.3">
      <c r="H716" s="48"/>
    </row>
    <row r="717" spans="8:8" ht="12.75" customHeight="1" x14ac:dyDescent="0.3">
      <c r="H717" s="48"/>
    </row>
    <row r="718" spans="8:8" ht="12.75" customHeight="1" x14ac:dyDescent="0.3">
      <c r="H718" s="48"/>
    </row>
    <row r="719" spans="8:8" ht="12.75" customHeight="1" x14ac:dyDescent="0.3">
      <c r="H719" s="48"/>
    </row>
    <row r="720" spans="8:8" ht="12.75" customHeight="1" x14ac:dyDescent="0.3">
      <c r="H720" s="48"/>
    </row>
    <row r="721" spans="8:8" ht="12.75" customHeight="1" x14ac:dyDescent="0.3">
      <c r="H721" s="48"/>
    </row>
    <row r="722" spans="8:8" ht="12.75" customHeight="1" x14ac:dyDescent="0.3">
      <c r="H722" s="48"/>
    </row>
    <row r="723" spans="8:8" ht="12.75" customHeight="1" x14ac:dyDescent="0.3">
      <c r="H723" s="48"/>
    </row>
    <row r="724" spans="8:8" ht="12.75" customHeight="1" x14ac:dyDescent="0.3">
      <c r="H724" s="48"/>
    </row>
    <row r="725" spans="8:8" ht="12.75" customHeight="1" x14ac:dyDescent="0.3">
      <c r="H725" s="48"/>
    </row>
    <row r="726" spans="8:8" ht="12.75" customHeight="1" x14ac:dyDescent="0.3">
      <c r="H726" s="48"/>
    </row>
    <row r="727" spans="8:8" ht="12.75" customHeight="1" x14ac:dyDescent="0.3">
      <c r="H727" s="48"/>
    </row>
    <row r="728" spans="8:8" ht="12.75" customHeight="1" x14ac:dyDescent="0.3">
      <c r="H728" s="48"/>
    </row>
    <row r="729" spans="8:8" ht="12.75" customHeight="1" x14ac:dyDescent="0.3">
      <c r="H729" s="48"/>
    </row>
    <row r="730" spans="8:8" ht="12.75" customHeight="1" x14ac:dyDescent="0.3">
      <c r="H730" s="48"/>
    </row>
    <row r="731" spans="8:8" ht="12.75" customHeight="1" x14ac:dyDescent="0.3">
      <c r="H731" s="48"/>
    </row>
    <row r="732" spans="8:8" ht="12.75" customHeight="1" x14ac:dyDescent="0.3">
      <c r="H732" s="48"/>
    </row>
    <row r="733" spans="8:8" ht="12.75" customHeight="1" x14ac:dyDescent="0.3">
      <c r="H733" s="48"/>
    </row>
    <row r="734" spans="8:8" ht="12.75" customHeight="1" x14ac:dyDescent="0.3">
      <c r="H734" s="48"/>
    </row>
    <row r="735" spans="8:8" ht="12.75" customHeight="1" x14ac:dyDescent="0.3">
      <c r="H735" s="48"/>
    </row>
    <row r="736" spans="8:8" ht="12.75" customHeight="1" x14ac:dyDescent="0.3">
      <c r="H736" s="48"/>
    </row>
    <row r="737" spans="8:8" ht="12.75" customHeight="1" x14ac:dyDescent="0.3">
      <c r="H737" s="48"/>
    </row>
    <row r="738" spans="8:8" ht="12.75" customHeight="1" x14ac:dyDescent="0.3">
      <c r="H738" s="48"/>
    </row>
    <row r="739" spans="8:8" ht="12.75" customHeight="1" x14ac:dyDescent="0.3">
      <c r="H739" s="48"/>
    </row>
    <row r="740" spans="8:8" ht="12.75" customHeight="1" x14ac:dyDescent="0.3">
      <c r="H740" s="48"/>
    </row>
    <row r="741" spans="8:8" ht="12.75" customHeight="1" x14ac:dyDescent="0.3">
      <c r="H741" s="48"/>
    </row>
    <row r="742" spans="8:8" ht="12.75" customHeight="1" x14ac:dyDescent="0.3">
      <c r="H742" s="48"/>
    </row>
    <row r="743" spans="8:8" ht="12.75" customHeight="1" x14ac:dyDescent="0.3">
      <c r="H743" s="48"/>
    </row>
    <row r="744" spans="8:8" ht="12.75" customHeight="1" x14ac:dyDescent="0.3">
      <c r="H744" s="48"/>
    </row>
    <row r="745" spans="8:8" ht="12.75" customHeight="1" x14ac:dyDescent="0.3">
      <c r="H745" s="48"/>
    </row>
    <row r="746" spans="8:8" ht="12.75" customHeight="1" x14ac:dyDescent="0.3">
      <c r="H746" s="48"/>
    </row>
    <row r="747" spans="8:8" ht="12.75" customHeight="1" x14ac:dyDescent="0.3">
      <c r="H747" s="48"/>
    </row>
    <row r="748" spans="8:8" ht="12.75" customHeight="1" x14ac:dyDescent="0.3">
      <c r="H748" s="48"/>
    </row>
    <row r="749" spans="8:8" ht="12.75" customHeight="1" x14ac:dyDescent="0.3">
      <c r="H749" s="48"/>
    </row>
    <row r="750" spans="8:8" ht="12.75" customHeight="1" x14ac:dyDescent="0.3">
      <c r="H750" s="48"/>
    </row>
    <row r="751" spans="8:8" ht="12.75" customHeight="1" x14ac:dyDescent="0.3">
      <c r="H751" s="48"/>
    </row>
    <row r="752" spans="8:8" ht="12.75" customHeight="1" x14ac:dyDescent="0.3">
      <c r="H752" s="48"/>
    </row>
    <row r="753" spans="8:8" ht="12.75" customHeight="1" x14ac:dyDescent="0.3">
      <c r="H753" s="48"/>
    </row>
    <row r="754" spans="8:8" ht="12.75" customHeight="1" x14ac:dyDescent="0.3">
      <c r="H754" s="48"/>
    </row>
    <row r="755" spans="8:8" ht="12.75" customHeight="1" x14ac:dyDescent="0.3">
      <c r="H755" s="48"/>
    </row>
    <row r="756" spans="8:8" ht="12.75" customHeight="1" x14ac:dyDescent="0.3">
      <c r="H756" s="48"/>
    </row>
    <row r="757" spans="8:8" ht="12.75" customHeight="1" x14ac:dyDescent="0.3">
      <c r="H757" s="48"/>
    </row>
    <row r="758" spans="8:8" ht="12.75" customHeight="1" x14ac:dyDescent="0.3">
      <c r="H758" s="48"/>
    </row>
    <row r="759" spans="8:8" ht="12.75" customHeight="1" x14ac:dyDescent="0.3">
      <c r="H759" s="48"/>
    </row>
    <row r="760" spans="8:8" ht="12.75" customHeight="1" x14ac:dyDescent="0.3">
      <c r="H760" s="48"/>
    </row>
    <row r="761" spans="8:8" ht="12.75" customHeight="1" x14ac:dyDescent="0.3">
      <c r="H761" s="48"/>
    </row>
    <row r="762" spans="8:8" ht="12.75" customHeight="1" x14ac:dyDescent="0.3">
      <c r="H762" s="48"/>
    </row>
    <row r="763" spans="8:8" ht="12.75" customHeight="1" x14ac:dyDescent="0.3">
      <c r="H763" s="48"/>
    </row>
    <row r="764" spans="8:8" ht="12.75" customHeight="1" x14ac:dyDescent="0.3">
      <c r="H764" s="48"/>
    </row>
    <row r="765" spans="8:8" ht="12.75" customHeight="1" x14ac:dyDescent="0.3">
      <c r="H765" s="48"/>
    </row>
    <row r="766" spans="8:8" ht="12.75" customHeight="1" x14ac:dyDescent="0.3">
      <c r="H766" s="48"/>
    </row>
    <row r="767" spans="8:8" ht="12.75" customHeight="1" x14ac:dyDescent="0.3">
      <c r="H767" s="48"/>
    </row>
    <row r="768" spans="8:8" ht="12.75" customHeight="1" x14ac:dyDescent="0.3">
      <c r="H768" s="48"/>
    </row>
    <row r="769" spans="8:8" ht="12.75" customHeight="1" x14ac:dyDescent="0.3">
      <c r="H769" s="48"/>
    </row>
    <row r="770" spans="8:8" ht="12.75" customHeight="1" x14ac:dyDescent="0.3">
      <c r="H770" s="48"/>
    </row>
    <row r="771" spans="8:8" ht="12.75" customHeight="1" x14ac:dyDescent="0.3">
      <c r="H771" s="48"/>
    </row>
    <row r="772" spans="8:8" ht="12.75" customHeight="1" x14ac:dyDescent="0.3">
      <c r="H772" s="48"/>
    </row>
    <row r="773" spans="8:8" ht="12.75" customHeight="1" x14ac:dyDescent="0.3">
      <c r="H773" s="48"/>
    </row>
    <row r="774" spans="8:8" ht="12.75" customHeight="1" x14ac:dyDescent="0.3">
      <c r="H774" s="48"/>
    </row>
    <row r="775" spans="8:8" ht="12.75" customHeight="1" x14ac:dyDescent="0.3">
      <c r="H775" s="48"/>
    </row>
    <row r="776" spans="8:8" ht="12.75" customHeight="1" x14ac:dyDescent="0.3">
      <c r="H776" s="48"/>
    </row>
    <row r="777" spans="8:8" ht="12.75" customHeight="1" x14ac:dyDescent="0.3">
      <c r="H777" s="48"/>
    </row>
    <row r="778" spans="8:8" ht="12.75" customHeight="1" x14ac:dyDescent="0.3">
      <c r="H778" s="48"/>
    </row>
    <row r="779" spans="8:8" ht="12.75" customHeight="1" x14ac:dyDescent="0.3">
      <c r="H779" s="48"/>
    </row>
    <row r="780" spans="8:8" ht="12.75" customHeight="1" x14ac:dyDescent="0.3">
      <c r="H780" s="48"/>
    </row>
    <row r="781" spans="8:8" ht="12.75" customHeight="1" x14ac:dyDescent="0.3">
      <c r="H781" s="48"/>
    </row>
    <row r="782" spans="8:8" ht="12.75" customHeight="1" x14ac:dyDescent="0.3">
      <c r="H782" s="48"/>
    </row>
    <row r="783" spans="8:8" ht="12.75" customHeight="1" x14ac:dyDescent="0.3">
      <c r="H783" s="48"/>
    </row>
    <row r="784" spans="8:8" ht="12.75" customHeight="1" x14ac:dyDescent="0.3">
      <c r="H784" s="48"/>
    </row>
    <row r="785" spans="8:8" ht="12.75" customHeight="1" x14ac:dyDescent="0.3">
      <c r="H785" s="48"/>
    </row>
    <row r="786" spans="8:8" ht="12.75" customHeight="1" x14ac:dyDescent="0.3">
      <c r="H786" s="48"/>
    </row>
    <row r="787" spans="8:8" ht="12.75" customHeight="1" x14ac:dyDescent="0.3">
      <c r="H787" s="48"/>
    </row>
    <row r="788" spans="8:8" ht="12.75" customHeight="1" x14ac:dyDescent="0.3">
      <c r="H788" s="48"/>
    </row>
    <row r="789" spans="8:8" ht="12.75" customHeight="1" x14ac:dyDescent="0.3">
      <c r="H789" s="48"/>
    </row>
    <row r="790" spans="8:8" ht="12.75" customHeight="1" x14ac:dyDescent="0.3">
      <c r="H790" s="48"/>
    </row>
    <row r="791" spans="8:8" ht="12.75" customHeight="1" x14ac:dyDescent="0.3">
      <c r="H791" s="48"/>
    </row>
    <row r="792" spans="8:8" ht="12.75" customHeight="1" x14ac:dyDescent="0.3">
      <c r="H792" s="48"/>
    </row>
    <row r="793" spans="8:8" ht="12.75" customHeight="1" x14ac:dyDescent="0.3">
      <c r="H793" s="48"/>
    </row>
    <row r="794" spans="8:8" ht="12.75" customHeight="1" x14ac:dyDescent="0.3">
      <c r="H794" s="48"/>
    </row>
    <row r="795" spans="8:8" ht="12.75" customHeight="1" x14ac:dyDescent="0.3">
      <c r="H795" s="48"/>
    </row>
    <row r="796" spans="8:8" ht="12.75" customHeight="1" x14ac:dyDescent="0.3">
      <c r="H796" s="48"/>
    </row>
    <row r="797" spans="8:8" ht="12.75" customHeight="1" x14ac:dyDescent="0.3">
      <c r="H797" s="48"/>
    </row>
    <row r="798" spans="8:8" ht="12.75" customHeight="1" x14ac:dyDescent="0.3">
      <c r="H798" s="48"/>
    </row>
    <row r="799" spans="8:8" ht="12.75" customHeight="1" x14ac:dyDescent="0.3">
      <c r="H799" s="48"/>
    </row>
    <row r="800" spans="8:8" ht="12.75" customHeight="1" x14ac:dyDescent="0.3">
      <c r="H800" s="48"/>
    </row>
    <row r="801" spans="8:8" ht="12.75" customHeight="1" x14ac:dyDescent="0.3">
      <c r="H801" s="48"/>
    </row>
    <row r="802" spans="8:8" ht="12.75" customHeight="1" x14ac:dyDescent="0.3">
      <c r="H802" s="48"/>
    </row>
    <row r="803" spans="8:8" ht="12.75" customHeight="1" x14ac:dyDescent="0.3">
      <c r="H803" s="48"/>
    </row>
    <row r="804" spans="8:8" ht="12.75" customHeight="1" x14ac:dyDescent="0.3">
      <c r="H804" s="48"/>
    </row>
    <row r="805" spans="8:8" ht="12.75" customHeight="1" x14ac:dyDescent="0.3">
      <c r="H805" s="48"/>
    </row>
    <row r="806" spans="8:8" ht="12.75" customHeight="1" x14ac:dyDescent="0.3">
      <c r="H806" s="48"/>
    </row>
    <row r="807" spans="8:8" ht="12.75" customHeight="1" x14ac:dyDescent="0.3">
      <c r="H807" s="48"/>
    </row>
    <row r="808" spans="8:8" ht="12.75" customHeight="1" x14ac:dyDescent="0.3">
      <c r="H808" s="48"/>
    </row>
    <row r="809" spans="8:8" ht="12.75" customHeight="1" x14ac:dyDescent="0.3">
      <c r="H809" s="48"/>
    </row>
    <row r="810" spans="8:8" ht="12.75" customHeight="1" x14ac:dyDescent="0.3">
      <c r="H810" s="48"/>
    </row>
    <row r="811" spans="8:8" ht="12.75" customHeight="1" x14ac:dyDescent="0.3">
      <c r="H811" s="48"/>
    </row>
    <row r="812" spans="8:8" ht="12.75" customHeight="1" x14ac:dyDescent="0.3">
      <c r="H812" s="48"/>
    </row>
    <row r="813" spans="8:8" ht="12.75" customHeight="1" x14ac:dyDescent="0.3">
      <c r="H813" s="48"/>
    </row>
    <row r="814" spans="8:8" ht="12.75" customHeight="1" x14ac:dyDescent="0.3">
      <c r="H814" s="48"/>
    </row>
    <row r="815" spans="8:8" ht="12.75" customHeight="1" x14ac:dyDescent="0.3">
      <c r="H815" s="48"/>
    </row>
    <row r="816" spans="8:8" ht="12.75" customHeight="1" x14ac:dyDescent="0.3">
      <c r="H816" s="48"/>
    </row>
    <row r="817" spans="8:8" ht="12.75" customHeight="1" x14ac:dyDescent="0.3">
      <c r="H817" s="48"/>
    </row>
    <row r="818" spans="8:8" ht="12.75" customHeight="1" x14ac:dyDescent="0.3">
      <c r="H818" s="48"/>
    </row>
    <row r="819" spans="8:8" ht="12.75" customHeight="1" x14ac:dyDescent="0.3">
      <c r="H819" s="48"/>
    </row>
    <row r="820" spans="8:8" ht="12.75" customHeight="1" x14ac:dyDescent="0.3">
      <c r="H820" s="48"/>
    </row>
    <row r="821" spans="8:8" ht="12.75" customHeight="1" x14ac:dyDescent="0.3">
      <c r="H821" s="48"/>
    </row>
    <row r="822" spans="8:8" ht="12.75" customHeight="1" x14ac:dyDescent="0.3">
      <c r="H822" s="48"/>
    </row>
    <row r="823" spans="8:8" ht="12.75" customHeight="1" x14ac:dyDescent="0.3">
      <c r="H823" s="48"/>
    </row>
    <row r="824" spans="8:8" ht="12.75" customHeight="1" x14ac:dyDescent="0.3">
      <c r="H824" s="48"/>
    </row>
    <row r="825" spans="8:8" ht="12.75" customHeight="1" x14ac:dyDescent="0.3">
      <c r="H825" s="48"/>
    </row>
    <row r="826" spans="8:8" ht="12.75" customHeight="1" x14ac:dyDescent="0.3">
      <c r="H826" s="48"/>
    </row>
    <row r="827" spans="8:8" ht="12.75" customHeight="1" x14ac:dyDescent="0.3">
      <c r="H827" s="48"/>
    </row>
    <row r="828" spans="8:8" ht="12.75" customHeight="1" x14ac:dyDescent="0.3">
      <c r="H828" s="48"/>
    </row>
    <row r="829" spans="8:8" ht="12.75" customHeight="1" x14ac:dyDescent="0.3">
      <c r="H829" s="48"/>
    </row>
    <row r="830" spans="8:8" ht="12.75" customHeight="1" x14ac:dyDescent="0.3">
      <c r="H830" s="48"/>
    </row>
    <row r="831" spans="8:8" ht="12.75" customHeight="1" x14ac:dyDescent="0.3">
      <c r="H831" s="48"/>
    </row>
    <row r="832" spans="8:8" ht="12.75" customHeight="1" x14ac:dyDescent="0.3">
      <c r="H832" s="48"/>
    </row>
    <row r="833" spans="8:8" ht="12.75" customHeight="1" x14ac:dyDescent="0.3">
      <c r="H833" s="48"/>
    </row>
    <row r="834" spans="8:8" ht="12.75" customHeight="1" x14ac:dyDescent="0.3">
      <c r="H834" s="48"/>
    </row>
    <row r="835" spans="8:8" ht="12.75" customHeight="1" x14ac:dyDescent="0.3">
      <c r="H835" s="48"/>
    </row>
    <row r="836" spans="8:8" ht="12.75" customHeight="1" x14ac:dyDescent="0.3">
      <c r="H836" s="48"/>
    </row>
    <row r="837" spans="8:8" ht="12.75" customHeight="1" x14ac:dyDescent="0.3">
      <c r="H837" s="48"/>
    </row>
    <row r="838" spans="8:8" ht="12.75" customHeight="1" x14ac:dyDescent="0.3">
      <c r="H838" s="48"/>
    </row>
    <row r="839" spans="8:8" ht="12.75" customHeight="1" x14ac:dyDescent="0.3">
      <c r="H839" s="48"/>
    </row>
    <row r="840" spans="8:8" ht="12.75" customHeight="1" x14ac:dyDescent="0.3">
      <c r="H840" s="48"/>
    </row>
    <row r="841" spans="8:8" ht="12.75" customHeight="1" x14ac:dyDescent="0.3">
      <c r="H841" s="48"/>
    </row>
    <row r="842" spans="8:8" ht="12.75" customHeight="1" x14ac:dyDescent="0.3">
      <c r="H842" s="48"/>
    </row>
    <row r="843" spans="8:8" ht="12.75" customHeight="1" x14ac:dyDescent="0.3">
      <c r="H843" s="48"/>
    </row>
    <row r="844" spans="8:8" ht="12.75" customHeight="1" x14ac:dyDescent="0.3">
      <c r="H844" s="48"/>
    </row>
    <row r="845" spans="8:8" ht="12.75" customHeight="1" x14ac:dyDescent="0.3">
      <c r="H845" s="48"/>
    </row>
    <row r="846" spans="8:8" ht="12.75" customHeight="1" x14ac:dyDescent="0.3">
      <c r="H846" s="48"/>
    </row>
    <row r="847" spans="8:8" ht="12.75" customHeight="1" x14ac:dyDescent="0.3">
      <c r="H847" s="48"/>
    </row>
    <row r="848" spans="8:8" ht="12.75" customHeight="1" x14ac:dyDescent="0.3">
      <c r="H848" s="48"/>
    </row>
    <row r="849" spans="8:8" ht="12.75" customHeight="1" x14ac:dyDescent="0.3">
      <c r="H849" s="48"/>
    </row>
    <row r="850" spans="8:8" ht="12.75" customHeight="1" x14ac:dyDescent="0.3">
      <c r="H850" s="48"/>
    </row>
    <row r="851" spans="8:8" ht="12.75" customHeight="1" x14ac:dyDescent="0.3">
      <c r="H851" s="48"/>
    </row>
    <row r="852" spans="8:8" ht="12.75" customHeight="1" x14ac:dyDescent="0.3">
      <c r="H852" s="48"/>
    </row>
    <row r="853" spans="8:8" ht="12.75" customHeight="1" x14ac:dyDescent="0.3">
      <c r="H853" s="48"/>
    </row>
    <row r="854" spans="8:8" ht="12.75" customHeight="1" x14ac:dyDescent="0.3">
      <c r="H854" s="48"/>
    </row>
    <row r="855" spans="8:8" ht="12.75" customHeight="1" x14ac:dyDescent="0.3">
      <c r="H855" s="48"/>
    </row>
    <row r="856" spans="8:8" ht="12.75" customHeight="1" x14ac:dyDescent="0.3">
      <c r="H856" s="48"/>
    </row>
    <row r="857" spans="8:8" ht="12.75" customHeight="1" x14ac:dyDescent="0.3">
      <c r="H857" s="48"/>
    </row>
    <row r="858" spans="8:8" ht="12.75" customHeight="1" x14ac:dyDescent="0.3">
      <c r="H858" s="48"/>
    </row>
    <row r="859" spans="8:8" ht="12.75" customHeight="1" x14ac:dyDescent="0.3">
      <c r="H859" s="48"/>
    </row>
    <row r="860" spans="8:8" ht="12.75" customHeight="1" x14ac:dyDescent="0.3">
      <c r="H860" s="48"/>
    </row>
    <row r="861" spans="8:8" ht="12.75" customHeight="1" x14ac:dyDescent="0.3">
      <c r="H861" s="48"/>
    </row>
    <row r="862" spans="8:8" ht="12.75" customHeight="1" x14ac:dyDescent="0.3">
      <c r="H862" s="48"/>
    </row>
    <row r="863" spans="8:8" ht="12.75" customHeight="1" x14ac:dyDescent="0.3">
      <c r="H863" s="48"/>
    </row>
    <row r="864" spans="8:8" ht="12.75" customHeight="1" x14ac:dyDescent="0.3">
      <c r="H864" s="48"/>
    </row>
    <row r="865" spans="8:8" ht="12.75" customHeight="1" x14ac:dyDescent="0.3">
      <c r="H865" s="48"/>
    </row>
    <row r="866" spans="8:8" ht="12.75" customHeight="1" x14ac:dyDescent="0.3">
      <c r="H866" s="48"/>
    </row>
    <row r="867" spans="8:8" ht="12.75" customHeight="1" x14ac:dyDescent="0.3">
      <c r="H867" s="48"/>
    </row>
    <row r="868" spans="8:8" ht="12.75" customHeight="1" x14ac:dyDescent="0.3">
      <c r="H868" s="48"/>
    </row>
    <row r="869" spans="8:8" ht="12.75" customHeight="1" x14ac:dyDescent="0.3">
      <c r="H869" s="48"/>
    </row>
    <row r="870" spans="8:8" ht="12.75" customHeight="1" x14ac:dyDescent="0.3">
      <c r="H870" s="48"/>
    </row>
    <row r="871" spans="8:8" ht="12.75" customHeight="1" x14ac:dyDescent="0.3">
      <c r="H871" s="48"/>
    </row>
    <row r="872" spans="8:8" ht="12.75" customHeight="1" x14ac:dyDescent="0.3">
      <c r="H872" s="48"/>
    </row>
    <row r="873" spans="8:8" ht="12.75" customHeight="1" x14ac:dyDescent="0.3">
      <c r="H873" s="48"/>
    </row>
    <row r="874" spans="8:8" ht="12.75" customHeight="1" x14ac:dyDescent="0.3">
      <c r="H874" s="48"/>
    </row>
    <row r="875" spans="8:8" ht="12.75" customHeight="1" x14ac:dyDescent="0.3">
      <c r="H875" s="48"/>
    </row>
    <row r="876" spans="8:8" ht="12.75" customHeight="1" x14ac:dyDescent="0.3">
      <c r="H876" s="48"/>
    </row>
    <row r="877" spans="8:8" ht="12.75" customHeight="1" x14ac:dyDescent="0.3">
      <c r="H877" s="48"/>
    </row>
    <row r="878" spans="8:8" ht="12.75" customHeight="1" x14ac:dyDescent="0.3">
      <c r="H878" s="48"/>
    </row>
    <row r="879" spans="8:8" ht="12.75" customHeight="1" x14ac:dyDescent="0.3">
      <c r="H879" s="48"/>
    </row>
    <row r="880" spans="8:8" ht="12.75" customHeight="1" x14ac:dyDescent="0.3">
      <c r="H880" s="48"/>
    </row>
    <row r="881" spans="8:8" ht="12.75" customHeight="1" x14ac:dyDescent="0.3">
      <c r="H881" s="48"/>
    </row>
    <row r="882" spans="8:8" ht="12.75" customHeight="1" x14ac:dyDescent="0.3">
      <c r="H882" s="48"/>
    </row>
    <row r="883" spans="8:8" ht="12.75" customHeight="1" x14ac:dyDescent="0.3">
      <c r="H883" s="48"/>
    </row>
    <row r="884" spans="8:8" ht="12.75" customHeight="1" x14ac:dyDescent="0.3">
      <c r="H884" s="48"/>
    </row>
    <row r="885" spans="8:8" ht="12.75" customHeight="1" x14ac:dyDescent="0.3">
      <c r="H885" s="48"/>
    </row>
    <row r="886" spans="8:8" ht="12.75" customHeight="1" x14ac:dyDescent="0.3">
      <c r="H886" s="48"/>
    </row>
    <row r="887" spans="8:8" ht="12.75" customHeight="1" x14ac:dyDescent="0.3">
      <c r="H887" s="48"/>
    </row>
    <row r="888" spans="8:8" ht="12.75" customHeight="1" x14ac:dyDescent="0.3">
      <c r="H888" s="48"/>
    </row>
    <row r="889" spans="8:8" ht="12.75" customHeight="1" x14ac:dyDescent="0.3">
      <c r="H889" s="48"/>
    </row>
    <row r="890" spans="8:8" ht="12.75" customHeight="1" x14ac:dyDescent="0.3">
      <c r="H890" s="48"/>
    </row>
    <row r="891" spans="8:8" ht="12.75" customHeight="1" x14ac:dyDescent="0.3">
      <c r="H891" s="48"/>
    </row>
    <row r="892" spans="8:8" ht="12.75" customHeight="1" x14ac:dyDescent="0.3">
      <c r="H892" s="48"/>
    </row>
    <row r="893" spans="8:8" ht="12.75" customHeight="1" x14ac:dyDescent="0.3">
      <c r="H893" s="48"/>
    </row>
    <row r="894" spans="8:8" ht="12.75" customHeight="1" x14ac:dyDescent="0.3">
      <c r="H894" s="48"/>
    </row>
    <row r="895" spans="8:8" ht="12.75" customHeight="1" x14ac:dyDescent="0.3">
      <c r="H895" s="48"/>
    </row>
    <row r="896" spans="8:8" ht="12.75" customHeight="1" x14ac:dyDescent="0.3">
      <c r="H896" s="48"/>
    </row>
    <row r="897" spans="8:8" ht="12.75" customHeight="1" x14ac:dyDescent="0.3">
      <c r="H897" s="48"/>
    </row>
    <row r="898" spans="8:8" ht="12.75" customHeight="1" x14ac:dyDescent="0.3">
      <c r="H898" s="48"/>
    </row>
    <row r="899" spans="8:8" ht="12.75" customHeight="1" x14ac:dyDescent="0.3">
      <c r="H899" s="48"/>
    </row>
    <row r="900" spans="8:8" ht="12.75" customHeight="1" x14ac:dyDescent="0.3">
      <c r="H900" s="48"/>
    </row>
    <row r="901" spans="8:8" ht="12.75" customHeight="1" x14ac:dyDescent="0.3">
      <c r="H901" s="48"/>
    </row>
    <row r="902" spans="8:8" ht="12.75" customHeight="1" x14ac:dyDescent="0.3">
      <c r="H902" s="48"/>
    </row>
    <row r="903" spans="8:8" ht="12.75" customHeight="1" x14ac:dyDescent="0.3">
      <c r="H903" s="48"/>
    </row>
    <row r="904" spans="8:8" ht="12.75" customHeight="1" x14ac:dyDescent="0.3">
      <c r="H904" s="48"/>
    </row>
    <row r="905" spans="8:8" ht="12.75" customHeight="1" x14ac:dyDescent="0.3">
      <c r="H905" s="48"/>
    </row>
    <row r="906" spans="8:8" ht="12.75" customHeight="1" x14ac:dyDescent="0.3">
      <c r="H906" s="48"/>
    </row>
    <row r="907" spans="8:8" ht="12.75" customHeight="1" x14ac:dyDescent="0.3">
      <c r="H907" s="48"/>
    </row>
    <row r="908" spans="8:8" ht="12.75" customHeight="1" x14ac:dyDescent="0.3">
      <c r="H908" s="48"/>
    </row>
    <row r="909" spans="8:8" ht="12.75" customHeight="1" x14ac:dyDescent="0.3">
      <c r="H909" s="48"/>
    </row>
    <row r="910" spans="8:8" ht="12.75" customHeight="1" x14ac:dyDescent="0.3">
      <c r="H910" s="48"/>
    </row>
    <row r="911" spans="8:8" ht="12.75" customHeight="1" x14ac:dyDescent="0.3">
      <c r="H911" s="48"/>
    </row>
    <row r="912" spans="8:8" ht="12.75" customHeight="1" x14ac:dyDescent="0.3">
      <c r="H912" s="48"/>
    </row>
    <row r="913" spans="8:8" ht="12.75" customHeight="1" x14ac:dyDescent="0.3">
      <c r="H913" s="48"/>
    </row>
    <row r="914" spans="8:8" ht="12.75" customHeight="1" x14ac:dyDescent="0.3">
      <c r="H914" s="48"/>
    </row>
    <row r="915" spans="8:8" ht="12.75" customHeight="1" x14ac:dyDescent="0.3">
      <c r="H915" s="48"/>
    </row>
    <row r="916" spans="8:8" ht="12.75" customHeight="1" x14ac:dyDescent="0.3">
      <c r="H916" s="48"/>
    </row>
    <row r="917" spans="8:8" ht="12.75" customHeight="1" x14ac:dyDescent="0.3">
      <c r="H917" s="48"/>
    </row>
    <row r="918" spans="8:8" ht="12.75" customHeight="1" x14ac:dyDescent="0.3">
      <c r="H918" s="48"/>
    </row>
    <row r="919" spans="8:8" ht="12.75" customHeight="1" x14ac:dyDescent="0.3">
      <c r="H919" s="48"/>
    </row>
    <row r="920" spans="8:8" ht="12.75" customHeight="1" x14ac:dyDescent="0.3">
      <c r="H920" s="48"/>
    </row>
    <row r="921" spans="8:8" ht="12.75" customHeight="1" x14ac:dyDescent="0.3">
      <c r="H921" s="48"/>
    </row>
    <row r="922" spans="8:8" ht="12.75" customHeight="1" x14ac:dyDescent="0.3">
      <c r="H922" s="48"/>
    </row>
    <row r="923" spans="8:8" ht="12.75" customHeight="1" x14ac:dyDescent="0.3">
      <c r="H923" s="48"/>
    </row>
    <row r="924" spans="8:8" ht="12.75" customHeight="1" x14ac:dyDescent="0.3">
      <c r="H924" s="48"/>
    </row>
    <row r="925" spans="8:8" ht="12.75" customHeight="1" x14ac:dyDescent="0.3">
      <c r="H925" s="48"/>
    </row>
    <row r="926" spans="8:8" ht="12.75" customHeight="1" x14ac:dyDescent="0.3">
      <c r="H926" s="48"/>
    </row>
    <row r="927" spans="8:8" ht="12.75" customHeight="1" x14ac:dyDescent="0.3">
      <c r="H927" s="48"/>
    </row>
    <row r="928" spans="8:8" ht="12.75" customHeight="1" x14ac:dyDescent="0.3">
      <c r="H928" s="48"/>
    </row>
    <row r="929" spans="8:8" ht="12.75" customHeight="1" x14ac:dyDescent="0.3">
      <c r="H929" s="48"/>
    </row>
    <row r="930" spans="8:8" ht="12.75" customHeight="1" x14ac:dyDescent="0.3">
      <c r="H930" s="48"/>
    </row>
    <row r="931" spans="8:8" ht="12.75" customHeight="1" x14ac:dyDescent="0.3">
      <c r="H931" s="48"/>
    </row>
    <row r="932" spans="8:8" ht="12.75" customHeight="1" x14ac:dyDescent="0.3">
      <c r="H932" s="48"/>
    </row>
    <row r="933" spans="8:8" ht="12.75" customHeight="1" x14ac:dyDescent="0.3">
      <c r="H933" s="48"/>
    </row>
    <row r="934" spans="8:8" ht="12.75" customHeight="1" x14ac:dyDescent="0.3">
      <c r="H934" s="48"/>
    </row>
    <row r="935" spans="8:8" ht="12.75" customHeight="1" x14ac:dyDescent="0.3">
      <c r="H935" s="48"/>
    </row>
    <row r="936" spans="8:8" ht="12.75" customHeight="1" x14ac:dyDescent="0.3">
      <c r="H936" s="48"/>
    </row>
    <row r="937" spans="8:8" ht="12.75" customHeight="1" x14ac:dyDescent="0.3">
      <c r="H937" s="48"/>
    </row>
    <row r="938" spans="8:8" ht="12.75" customHeight="1" x14ac:dyDescent="0.3">
      <c r="H938" s="48"/>
    </row>
    <row r="939" spans="8:8" ht="12.75" customHeight="1" x14ac:dyDescent="0.3">
      <c r="H939" s="48"/>
    </row>
    <row r="940" spans="8:8" ht="12.75" customHeight="1" x14ac:dyDescent="0.3">
      <c r="H940" s="48"/>
    </row>
    <row r="941" spans="8:8" ht="12.75" customHeight="1" x14ac:dyDescent="0.3">
      <c r="H941" s="48"/>
    </row>
    <row r="942" spans="8:8" ht="12.75" customHeight="1" x14ac:dyDescent="0.3">
      <c r="H942" s="48"/>
    </row>
    <row r="943" spans="8:8" ht="12.75" customHeight="1" x14ac:dyDescent="0.3">
      <c r="H943" s="48"/>
    </row>
    <row r="944" spans="8:8" ht="12.75" customHeight="1" x14ac:dyDescent="0.3">
      <c r="H944" s="48"/>
    </row>
    <row r="945" spans="8:8" ht="12.75" customHeight="1" x14ac:dyDescent="0.3">
      <c r="H945" s="48"/>
    </row>
    <row r="946" spans="8:8" ht="12.75" customHeight="1" x14ac:dyDescent="0.3">
      <c r="H946" s="48"/>
    </row>
    <row r="947" spans="8:8" ht="12.75" customHeight="1" x14ac:dyDescent="0.3">
      <c r="H947" s="48"/>
    </row>
    <row r="948" spans="8:8" ht="12.75" customHeight="1" x14ac:dyDescent="0.3">
      <c r="H948" s="48"/>
    </row>
    <row r="949" spans="8:8" ht="12.75" customHeight="1" x14ac:dyDescent="0.3">
      <c r="H949" s="48"/>
    </row>
    <row r="950" spans="8:8" ht="12.75" customHeight="1" x14ac:dyDescent="0.3">
      <c r="H950" s="48"/>
    </row>
    <row r="951" spans="8:8" ht="12.75" customHeight="1" x14ac:dyDescent="0.3">
      <c r="H951" s="48"/>
    </row>
    <row r="952" spans="8:8" ht="12.75" customHeight="1" x14ac:dyDescent="0.3">
      <c r="H952" s="48"/>
    </row>
    <row r="953" spans="8:8" ht="12.75" customHeight="1" x14ac:dyDescent="0.3">
      <c r="H953" s="48"/>
    </row>
    <row r="954" spans="8:8" ht="12.75" customHeight="1" x14ac:dyDescent="0.3">
      <c r="H954" s="48"/>
    </row>
    <row r="955" spans="8:8" ht="12.75" customHeight="1" x14ac:dyDescent="0.3">
      <c r="H955" s="48"/>
    </row>
    <row r="956" spans="8:8" ht="12.75" customHeight="1" x14ac:dyDescent="0.3">
      <c r="H956" s="48"/>
    </row>
    <row r="957" spans="8:8" ht="12.75" customHeight="1" x14ac:dyDescent="0.3">
      <c r="H957" s="48"/>
    </row>
    <row r="958" spans="8:8" ht="12.75" customHeight="1" x14ac:dyDescent="0.3">
      <c r="H958" s="48"/>
    </row>
    <row r="959" spans="8:8" ht="12.75" customHeight="1" x14ac:dyDescent="0.3">
      <c r="H959" s="48"/>
    </row>
    <row r="960" spans="8:8" ht="12.75" customHeight="1" x14ac:dyDescent="0.3">
      <c r="H960" s="48"/>
    </row>
    <row r="961" spans="8:8" ht="12.75" customHeight="1" x14ac:dyDescent="0.3">
      <c r="H961" s="48"/>
    </row>
    <row r="962" spans="8:8" ht="12.75" customHeight="1" x14ac:dyDescent="0.3">
      <c r="H962" s="48"/>
    </row>
    <row r="963" spans="8:8" ht="12.75" customHeight="1" x14ac:dyDescent="0.3">
      <c r="H963" s="48"/>
    </row>
    <row r="964" spans="8:8" ht="12.75" customHeight="1" x14ac:dyDescent="0.3">
      <c r="H964" s="48"/>
    </row>
    <row r="965" spans="8:8" ht="12.75" customHeight="1" x14ac:dyDescent="0.3">
      <c r="H965" s="48"/>
    </row>
    <row r="966" spans="8:8" ht="12.75" customHeight="1" x14ac:dyDescent="0.3">
      <c r="H966" s="48"/>
    </row>
    <row r="967" spans="8:8" ht="12.75" customHeight="1" x14ac:dyDescent="0.3">
      <c r="H967" s="48"/>
    </row>
    <row r="968" spans="8:8" ht="12.75" customHeight="1" x14ac:dyDescent="0.3">
      <c r="H968" s="48"/>
    </row>
    <row r="969" spans="8:8" ht="12.75" customHeight="1" x14ac:dyDescent="0.3">
      <c r="H969" s="48"/>
    </row>
    <row r="970" spans="8:8" ht="12.75" customHeight="1" x14ac:dyDescent="0.3">
      <c r="H970" s="48"/>
    </row>
    <row r="971" spans="8:8" ht="12.75" customHeight="1" x14ac:dyDescent="0.3">
      <c r="H971" s="48"/>
    </row>
    <row r="972" spans="8:8" ht="12.75" customHeight="1" x14ac:dyDescent="0.3">
      <c r="H972" s="48"/>
    </row>
    <row r="973" spans="8:8" ht="12.75" customHeight="1" x14ac:dyDescent="0.3">
      <c r="H973" s="48"/>
    </row>
    <row r="974" spans="8:8" ht="12.75" customHeight="1" x14ac:dyDescent="0.3">
      <c r="H974" s="48"/>
    </row>
    <row r="975" spans="8:8" ht="12.75" customHeight="1" x14ac:dyDescent="0.3">
      <c r="H975" s="48"/>
    </row>
    <row r="976" spans="8:8" ht="12.75" customHeight="1" x14ac:dyDescent="0.3">
      <c r="H976" s="48"/>
    </row>
    <row r="977" spans="8:8" ht="12.75" customHeight="1" x14ac:dyDescent="0.3">
      <c r="H977" s="48"/>
    </row>
    <row r="978" spans="8:8" ht="12.75" customHeight="1" x14ac:dyDescent="0.3">
      <c r="H978" s="48"/>
    </row>
    <row r="979" spans="8:8" ht="12.75" customHeight="1" x14ac:dyDescent="0.3">
      <c r="H979" s="48"/>
    </row>
    <row r="980" spans="8:8" ht="12.75" customHeight="1" x14ac:dyDescent="0.3">
      <c r="H980" s="48"/>
    </row>
    <row r="981" spans="8:8" ht="12.75" customHeight="1" x14ac:dyDescent="0.3">
      <c r="H981" s="48"/>
    </row>
    <row r="982" spans="8:8" ht="12.75" customHeight="1" x14ac:dyDescent="0.3">
      <c r="H982" s="48"/>
    </row>
    <row r="983" spans="8:8" ht="12.75" customHeight="1" x14ac:dyDescent="0.3">
      <c r="H983" s="48"/>
    </row>
    <row r="984" spans="8:8" ht="12.75" customHeight="1" x14ac:dyDescent="0.3">
      <c r="H984" s="48"/>
    </row>
    <row r="985" spans="8:8" ht="12.75" customHeight="1" x14ac:dyDescent="0.3">
      <c r="H985" s="48"/>
    </row>
    <row r="986" spans="8:8" ht="12.75" customHeight="1" x14ac:dyDescent="0.3">
      <c r="H986" s="48"/>
    </row>
    <row r="987" spans="8:8" ht="12.75" customHeight="1" x14ac:dyDescent="0.3">
      <c r="H987" s="48"/>
    </row>
    <row r="988" spans="8:8" ht="12.75" customHeight="1" x14ac:dyDescent="0.3">
      <c r="H988" s="48"/>
    </row>
    <row r="989" spans="8:8" ht="12.75" customHeight="1" x14ac:dyDescent="0.3">
      <c r="H989" s="48"/>
    </row>
    <row r="990" spans="8:8" ht="12.75" customHeight="1" x14ac:dyDescent="0.3">
      <c r="H990" s="48"/>
    </row>
    <row r="991" spans="8:8" ht="12.75" customHeight="1" x14ac:dyDescent="0.3">
      <c r="H991" s="48"/>
    </row>
    <row r="992" spans="8:8" ht="12.75" customHeight="1" x14ac:dyDescent="0.3">
      <c r="H992" s="48"/>
    </row>
    <row r="993" spans="8:8" ht="12.75" customHeight="1" x14ac:dyDescent="0.3">
      <c r="H993" s="48"/>
    </row>
    <row r="994" spans="8:8" ht="12.75" customHeight="1" x14ac:dyDescent="0.3">
      <c r="H994" s="48"/>
    </row>
    <row r="995" spans="8:8" ht="12.75" customHeight="1" x14ac:dyDescent="0.3">
      <c r="H995" s="48"/>
    </row>
    <row r="996" spans="8:8" ht="12.75" customHeight="1" x14ac:dyDescent="0.3">
      <c r="H996" s="48"/>
    </row>
    <row r="997" spans="8:8" ht="12.75" customHeight="1" x14ac:dyDescent="0.3">
      <c r="H997" s="48"/>
    </row>
    <row r="998" spans="8:8" ht="12.75" customHeight="1" x14ac:dyDescent="0.3">
      <c r="H998" s="48"/>
    </row>
    <row r="999" spans="8:8" ht="12.75" customHeight="1" x14ac:dyDescent="0.3">
      <c r="H999" s="48"/>
    </row>
    <row r="1000" spans="8:8" ht="12.75" customHeight="1" x14ac:dyDescent="0.3">
      <c r="H1000" s="48"/>
    </row>
  </sheetData>
  <mergeCells count="57"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A30:A31"/>
    <mergeCell ref="A33:A34"/>
    <mergeCell ref="A1:R1"/>
    <mergeCell ref="A2:B2"/>
    <mergeCell ref="C2:M2"/>
    <mergeCell ref="C3:I3"/>
    <mergeCell ref="C4:G4"/>
    <mergeCell ref="C5:G5"/>
    <mergeCell ref="Q10:R10"/>
    <mergeCell ref="O2:R2"/>
    <mergeCell ref="Q9:R9"/>
    <mergeCell ref="Q11:R11"/>
    <mergeCell ref="Q12:R12"/>
    <mergeCell ref="Q13:R13"/>
    <mergeCell ref="Q14:R14"/>
    <mergeCell ref="Q15:R15"/>
    <mergeCell ref="A12:A13"/>
    <mergeCell ref="A16:A17"/>
    <mergeCell ref="A19:A20"/>
    <mergeCell ref="A23:A24"/>
    <mergeCell ref="A26:A27"/>
    <mergeCell ref="L3:N3"/>
    <mergeCell ref="L5:N5"/>
    <mergeCell ref="Q7:R7"/>
    <mergeCell ref="Q8:R8"/>
    <mergeCell ref="A9:A10"/>
    <mergeCell ref="M40:R40"/>
    <mergeCell ref="M41:R41"/>
    <mergeCell ref="N36:P36"/>
    <mergeCell ref="N37:P37"/>
    <mergeCell ref="F38:I38"/>
    <mergeCell ref="M38:R38"/>
    <mergeCell ref="F39:I39"/>
    <mergeCell ref="M39:R39"/>
    <mergeCell ref="F41:I41"/>
    <mergeCell ref="Q36:R36"/>
    <mergeCell ref="Q37:R37"/>
  </mergeCells>
  <dataValidations count="1">
    <dataValidation type="list" allowBlank="1" showErrorMessage="1" sqref="H8:H13 H15:H20 H22:H27 H29:H34" xr:uid="{00000000-0002-0000-0D00-000000000000}">
      <formula1>$A$38:$A$41</formula1>
    </dataValidation>
  </dataValidations>
  <pageMargins left="0.31496062992125984" right="0.31496062992125984" top="0.31496062992125984" bottom="0.31496062992125984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C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3:3" ht="12.75" customHeight="1" x14ac:dyDescent="0.3"/>
    <row r="2" spans="3:3" ht="12.75" customHeight="1" x14ac:dyDescent="0.3"/>
    <row r="3" spans="3:3" ht="12.75" customHeight="1" x14ac:dyDescent="0.3">
      <c r="C3" s="26"/>
    </row>
    <row r="4" spans="3:3" ht="12.75" customHeight="1" x14ac:dyDescent="0.3"/>
    <row r="5" spans="3:3" ht="12.75" customHeight="1" x14ac:dyDescent="0.3"/>
    <row r="6" spans="3:3" ht="12.75" customHeight="1" x14ac:dyDescent="0.3"/>
    <row r="7" spans="3:3" ht="12.75" customHeight="1" x14ac:dyDescent="0.3"/>
    <row r="8" spans="3:3" ht="12.75" customHeight="1" x14ac:dyDescent="0.3"/>
    <row r="9" spans="3:3" ht="12.75" customHeight="1" x14ac:dyDescent="0.3"/>
    <row r="10" spans="3:3" ht="12.75" customHeight="1" x14ac:dyDescent="0.3"/>
    <row r="11" spans="3:3" ht="12.75" customHeight="1" x14ac:dyDescent="0.3"/>
    <row r="12" spans="3:3" ht="12.75" customHeight="1" x14ac:dyDescent="0.3"/>
    <row r="13" spans="3:3" ht="12.75" customHeight="1" x14ac:dyDescent="0.3"/>
    <row r="14" spans="3:3" ht="12.75" customHeight="1" x14ac:dyDescent="0.3"/>
    <row r="15" spans="3:3" ht="12.75" customHeight="1" x14ac:dyDescent="0.3"/>
    <row r="16" spans="3:3" ht="12.75" customHeight="1" x14ac:dyDescent="0.3"/>
    <row r="17" spans="3:3" ht="12.75" customHeight="1" x14ac:dyDescent="0.3">
      <c r="C17" s="26"/>
    </row>
    <row r="18" spans="3:3" ht="12.75" customHeight="1" x14ac:dyDescent="0.3"/>
    <row r="19" spans="3:3" ht="12.75" customHeight="1" x14ac:dyDescent="0.3"/>
    <row r="20" spans="3:3" ht="12.75" customHeight="1" x14ac:dyDescent="0.3"/>
    <row r="21" spans="3:3" ht="12.75" customHeight="1" x14ac:dyDescent="0.3"/>
    <row r="22" spans="3:3" ht="12.75" customHeight="1" x14ac:dyDescent="0.3"/>
    <row r="23" spans="3:3" ht="12.75" customHeight="1" x14ac:dyDescent="0.3"/>
    <row r="24" spans="3:3" ht="12.75" customHeight="1" x14ac:dyDescent="0.3"/>
    <row r="25" spans="3:3" ht="12.75" customHeight="1" x14ac:dyDescent="0.3"/>
    <row r="26" spans="3:3" ht="12.75" customHeight="1" x14ac:dyDescent="0.3"/>
    <row r="27" spans="3:3" ht="12.75" customHeight="1" x14ac:dyDescent="0.3"/>
    <row r="28" spans="3:3" ht="12.75" customHeight="1" x14ac:dyDescent="0.3"/>
    <row r="29" spans="3:3" ht="12.75" customHeight="1" x14ac:dyDescent="0.3"/>
    <row r="30" spans="3:3" ht="12.75" customHeight="1" x14ac:dyDescent="0.3"/>
    <row r="31" spans="3:3" ht="12.75" customHeight="1" x14ac:dyDescent="0.3"/>
    <row r="32" spans="3:3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Stammangaben</vt:lpstr>
      <vt:lpstr>KW 01-04</vt:lpstr>
      <vt:lpstr>KW 05-08</vt:lpstr>
      <vt:lpstr>KW 09-12</vt:lpstr>
      <vt:lpstr>KW 13-16</vt:lpstr>
      <vt:lpstr>KW 17-20</vt:lpstr>
      <vt:lpstr>KW 21-24</vt:lpstr>
      <vt:lpstr>KW 25-28</vt:lpstr>
      <vt:lpstr>KW 29-32</vt:lpstr>
      <vt:lpstr>KW 33-36</vt:lpstr>
      <vt:lpstr>KW 37-40</vt:lpstr>
      <vt:lpstr>KW 41-44</vt:lpstr>
      <vt:lpstr>KW 45-48</vt:lpstr>
      <vt:lpstr>KW 49-52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u51sh12</dc:creator>
  <cp:lastModifiedBy>Daniel Nass</cp:lastModifiedBy>
  <dcterms:created xsi:type="dcterms:W3CDTF">2008-11-13T12:26:59Z</dcterms:created>
  <dcterms:modified xsi:type="dcterms:W3CDTF">2025-12-28T13:57:08Z</dcterms:modified>
</cp:coreProperties>
</file>